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  <sheet state="visible" name="ESTRUCTURA FINANCIERA" sheetId="2" r:id="rId5"/>
    <sheet state="visible" name="CUADRO DE EGRESOS E INGRESOS" sheetId="3" r:id="rId6"/>
    <sheet state="visible" name="M. DE CALCULO DE COSTOS VARIABL" sheetId="4" r:id="rId7"/>
    <sheet state="visible" name="M. DE CALCULO DE GASTOS FIJOS" sheetId="5" r:id="rId8"/>
    <sheet state="visible" name="INGRESOS" sheetId="6" r:id="rId9"/>
    <sheet state="visible" name="DEPRECIACIONES" sheetId="7" r:id="rId10"/>
    <sheet state="visible" name="AMORTIZACIONES" sheetId="8" r:id="rId11"/>
    <sheet state="visible" name="COSTOS" sheetId="9" r:id="rId12"/>
    <sheet state="visible" name="PROYECCIONES EGRESOS E INGRESOS" sheetId="10" r:id="rId13"/>
    <sheet state="visible" name="SENSIBILIDAD" sheetId="11" r:id="rId14"/>
    <sheet state="visible" name="TIR - VAN" sheetId="12" r:id="rId15"/>
    <sheet state="visible" name="BALANCE GENERAL PROFORMA" sheetId="13" r:id="rId16"/>
    <sheet state="visible" name="ESTADO DE RESULTADOS" sheetId="14" r:id="rId17"/>
    <sheet state="visible" name="CRONOGRAMA DE ACTIVIDADES" sheetId="15" r:id="rId18"/>
  </sheets>
  <externalReferences>
    <externalReference r:id="rId19"/>
  </externalReferences>
  <definedNames>
    <definedName name="_xlfn.BAHTTEXT">#NAME?</definedName>
    <definedName name="LIN_DISTR_ELECT.">'[1]PRES 1'!#REF!</definedName>
    <definedName name="SUBEST_ELECTR">'[1]PRES 1'!#REF!</definedName>
    <definedName name="CAJA_DE_CAPTACION">#REF!</definedName>
    <definedName name="SERIES">#REF!</definedName>
  </definedNames>
  <calcPr/>
  <extLst>
    <ext uri="GoogleSheetsCustomDataVersion2">
      <go:sheetsCustomData xmlns:go="http://customooxmlschemas.google.com/" r:id="rId20" roundtripDataChecksum="UumWWLe9lvyOP6LELZa7mkyTL0+I1g90rHfGtW9Ie4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4">
      <text>
        <t xml:space="preserve">Las comisiones promedio mensuales que se perciben son de este monto.
======</t>
      </text>
    </comment>
    <comment authorId="0" ref="D14">
      <text>
        <t xml:space="preserve">Las comisiones promedio mensuales que se perciben son de este monto.
======</t>
      </text>
    </comment>
    <comment authorId="0" ref="E14">
      <text>
        <t xml:space="preserve">Las comisiones promedio mensuales que se perciben son de este monto.
======</t>
      </text>
    </comment>
    <comment authorId="0" ref="F14">
      <text>
        <t xml:space="preserve">Las comisiones promedio mensuales que se perciben son de este monto.
======</t>
      </text>
    </comment>
    <comment authorId="0" ref="G14">
      <text>
        <t xml:space="preserve">Las comisiones promedio mensuales que se perciben son de este monto.
======</t>
      </text>
    </comment>
    <comment authorId="0" ref="H14">
      <text>
        <t xml:space="preserve">Las comisiones promedio mensuales que se perciben son de este monto.
======</t>
      </text>
    </comment>
    <comment authorId="0" ref="I14">
      <text>
        <t xml:space="preserve">Las comisiones promedio mensuales que se perciben son de este monto.
======</t>
      </text>
    </comment>
    <comment authorId="0" ref="J14">
      <text>
        <t xml:space="preserve">Las comisiones promedio mensuales que se perciben son de este monto.
======</t>
      </text>
    </comment>
    <comment authorId="0" ref="K14">
      <text>
        <t xml:space="preserve">Las comisiones promedio mensuales que se perciben son de este monto.
======</t>
      </text>
    </comment>
    <comment authorId="0" ref="L14">
      <text>
        <t xml:space="preserve">Las comisiones promedio mensuales que se perciben son de este monto.
======</t>
      </text>
    </comment>
    <comment authorId="0" ref="M14">
      <text>
        <t xml:space="preserve">Las comisiones promedio mensuales que se perciben son de este monto.
======</t>
      </text>
    </comment>
    <comment authorId="0" ref="N14">
      <text>
        <t xml:space="preserve">Las comisiones promedio mensuales que se perciben son de este monto.
======</t>
      </text>
    </comment>
    <comment authorId="0" ref="C31">
      <text>
        <t xml:space="preserve">Las comisiones promedio mensuales que se perciben son de este monto.
======</t>
      </text>
    </comment>
    <comment authorId="0" ref="C46">
      <text>
        <t xml:space="preserve">Las comisiones promedio mensuales que se perciben son de este monto.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8">
      <text>
        <t xml:space="preserve">======
ID#AAABtESVSBk
usuario01    (2025-10-21 13:34:15)
TASA INTERNA DE RETORNO</t>
      </text>
    </comment>
    <comment authorId="0" ref="F19">
      <text>
        <t xml:space="preserve">======
ID#AAABtESVSBo
usuario01    (2025-10-21 13:34:15)
RELACION BENEFICIO-COSTO</t>
      </text>
    </comment>
    <comment authorId="0" ref="F17">
      <text>
        <t xml:space="preserve">======
ID#AAABtESVSBg
usuario01    (2025-10-21 13:34:15)
VALOR ACTUAL NETO</t>
      </text>
    </comment>
  </commentList>
  <extLst>
    <ext uri="GoogleSheetsCustomDataVersion2">
      <go:sheetsCustomData xmlns:go="http://customooxmlschemas.google.com/" r:id="rId1" roundtripDataSignature="AMtx7mju5vzj7cCb3YA+2kTyWoItEd8SGg=="/>
    </ext>
  </extLst>
</comments>
</file>

<file path=xl/sharedStrings.xml><?xml version="1.0" encoding="utf-8"?>
<sst xmlns="http://schemas.openxmlformats.org/spreadsheetml/2006/main" count="582" uniqueCount="252">
  <si>
    <t>ESTUDIO FINANCIERO</t>
  </si>
  <si>
    <t>DATOS ADICIONALES</t>
  </si>
  <si>
    <t>Inflación</t>
  </si>
  <si>
    <t>Anual</t>
  </si>
  <si>
    <t>Incremento salarial</t>
  </si>
  <si>
    <t>Incremento volumen</t>
  </si>
  <si>
    <t>cada 3 meses durante el primer año</t>
  </si>
  <si>
    <t>Incremento precio unitario de venta</t>
  </si>
  <si>
    <t>A partir del segundo semestre del primer año y durante los sig años</t>
  </si>
  <si>
    <t>Depreciación en línea recta</t>
  </si>
  <si>
    <t>LISR</t>
  </si>
  <si>
    <t>Amortización de la deuda de acuerdo a la</t>
  </si>
  <si>
    <t>dependencia que otorgará el financiamiento</t>
  </si>
  <si>
    <t>ESTRUCTURA FINANCIERA</t>
  </si>
  <si>
    <t>PROYECTO: EXPANSIÓN DE MICEL DISTRIBUIDOR AUTORIZADO TELCEL</t>
  </si>
  <si>
    <t>SOCIEDAD: MICEL DISTRIBUIDOR AUTORIZADO TELCEL- VMD</t>
  </si>
  <si>
    <t>BENEFICIARIOS: VICTOR DANIEL MARINI DEBERNARDI</t>
  </si>
  <si>
    <t>DESGLOSE   DE   INVERSION   PARA  UN AÑO</t>
  </si>
  <si>
    <t xml:space="preserve">                  CONCEPTO</t>
  </si>
  <si>
    <t>UNIDAD DE</t>
  </si>
  <si>
    <t>CANTIDAD</t>
  </si>
  <si>
    <t xml:space="preserve">PRECIO </t>
  </si>
  <si>
    <t>COSTO</t>
  </si>
  <si>
    <t xml:space="preserve">              APORTACION</t>
  </si>
  <si>
    <t>MEDIDA</t>
  </si>
  <si>
    <t>UNITARIO</t>
  </si>
  <si>
    <t>TOTAL</t>
  </si>
  <si>
    <t>DEPENDENCIA</t>
  </si>
  <si>
    <t>GRUPO</t>
  </si>
  <si>
    <t>CAPITAL DE TRABAJO</t>
  </si>
  <si>
    <t>Equipos (celulares, modems, tablets)</t>
  </si>
  <si>
    <t>PZAS</t>
  </si>
  <si>
    <t>Accesorios</t>
  </si>
  <si>
    <t>Saldo en el portal</t>
  </si>
  <si>
    <t>SERVICIO</t>
  </si>
  <si>
    <t>Papelería y Limpieza</t>
  </si>
  <si>
    <t>Uniformes</t>
  </si>
  <si>
    <t>INVERSION FIJA</t>
  </si>
  <si>
    <t xml:space="preserve">Pintura y trabajos de tablaroca
</t>
  </si>
  <si>
    <t xml:space="preserve">Equipo de computo
</t>
  </si>
  <si>
    <t>UNIDAD</t>
  </si>
  <si>
    <t xml:space="preserve">Modificaciones eléctricas
</t>
  </si>
  <si>
    <t>Exhibipaneles</t>
  </si>
  <si>
    <t xml:space="preserve">Ganchos para exhibipaneles y bases de teléfonos
</t>
  </si>
  <si>
    <t xml:space="preserve">Mobiliario (Vitrinas, sillas y caja)
</t>
  </si>
  <si>
    <t>Anuncio luminoso</t>
  </si>
  <si>
    <t>Pantalla</t>
  </si>
  <si>
    <t>Depósito de Renta y Renta adelantada del local</t>
  </si>
  <si>
    <t>Instalación de Servicios</t>
  </si>
  <si>
    <t>Licencia del sistema de Ventas</t>
  </si>
  <si>
    <t>Cámaras de seguridad</t>
  </si>
  <si>
    <t>Regulador de voltaje</t>
  </si>
  <si>
    <t>Subtotal</t>
  </si>
  <si>
    <t>INVERSIÓN DIFERIDA</t>
  </si>
  <si>
    <t>Capacitación</t>
  </si>
  <si>
    <t xml:space="preserve">TOTAL </t>
  </si>
  <si>
    <t xml:space="preserve">PORCENTAJE </t>
  </si>
  <si>
    <t>NOTAS: LA ESTRUCTURA FINANCIERA ESTÁ DESGLOSADA PARA LA APERTURA DE 1 NUEVA SUCURSAL. LA VISIÓN DEL PROYECTO ES ABRIR 9, POR LO TANTO SE MUESTRA A CONTINUACIÓN LOS MONTOS TOTALES POR 9 SUCURSALES.</t>
  </si>
  <si>
    <t>1 SUCURSAL</t>
  </si>
  <si>
    <t>9 SUCURSALES</t>
  </si>
  <si>
    <t>CONCEPTO</t>
  </si>
  <si>
    <t>Cap. Trabajo</t>
  </si>
  <si>
    <t>Inv. Fija</t>
  </si>
  <si>
    <t>Inv. Diferida</t>
  </si>
  <si>
    <t>Total</t>
  </si>
  <si>
    <t>%</t>
  </si>
  <si>
    <t>ESTRUCTURA DE INGRESOS Y EGERESOS</t>
  </si>
  <si>
    <t>SITUACION FINANCIERA ACTUAL Y PROYECTADA</t>
  </si>
  <si>
    <t xml:space="preserve"> FLUJO  DE I N G R E S O S   Y   E G R E S O S   </t>
  </si>
  <si>
    <t>PRIMER AÑO DE INVERSIÓN</t>
  </si>
  <si>
    <t>C O N C E P T O</t>
  </si>
  <si>
    <t>1 MES</t>
  </si>
  <si>
    <t>2 MES</t>
  </si>
  <si>
    <t>3 MES</t>
  </si>
  <si>
    <t>4 MES</t>
  </si>
  <si>
    <t>5 MES</t>
  </si>
  <si>
    <t>6 MES</t>
  </si>
  <si>
    <t>7 MES</t>
  </si>
  <si>
    <t>8 MES</t>
  </si>
  <si>
    <t>9 MES</t>
  </si>
  <si>
    <t>10 MES</t>
  </si>
  <si>
    <t>11 MES</t>
  </si>
  <si>
    <t>12 MES</t>
  </si>
  <si>
    <t>INGRESOS POR PRODUCTOS</t>
  </si>
  <si>
    <t>INGRESOS POR SERVICIOS</t>
  </si>
  <si>
    <t>INGRESOS POR COMISIONES</t>
  </si>
  <si>
    <t xml:space="preserve">TOTAL DE INGRESOS </t>
  </si>
  <si>
    <t>aumenta 3</t>
  </si>
  <si>
    <t>aumento 3%</t>
  </si>
  <si>
    <t xml:space="preserve">EGRESOS </t>
  </si>
  <si>
    <t>VARIABLE</t>
  </si>
  <si>
    <t>FIJOS</t>
  </si>
  <si>
    <t xml:space="preserve">SALDO                  </t>
  </si>
  <si>
    <t>9 sucursales</t>
  </si>
  <si>
    <t>SALDO ACUMULADO</t>
  </si>
  <si>
    <t>PROYECCION  FINANCIERA ANUAL</t>
  </si>
  <si>
    <t>SEGUNDO AÑO DE INVERSIÓN</t>
  </si>
  <si>
    <t>TERCER AÑO DE INVERSIÓN</t>
  </si>
  <si>
    <t>CUARTO AÑO DE INVERSIÓN</t>
  </si>
  <si>
    <t>QUINTO AÑO DE INVERSIÓN</t>
  </si>
  <si>
    <t>CAPACIDAD DE PAGO</t>
  </si>
  <si>
    <t>PRMER AÑO</t>
  </si>
  <si>
    <t>SEGUNDO AÑO</t>
  </si>
  <si>
    <t>TERCER AÑO</t>
  </si>
  <si>
    <t>CUARTO AÑO</t>
  </si>
  <si>
    <t>QUINTO AÑO</t>
  </si>
  <si>
    <t>INGRESOS</t>
  </si>
  <si>
    <t>EGRESOS</t>
  </si>
  <si>
    <t>ESTRUCTURA DE INGRESOS Y EGRESOS</t>
  </si>
  <si>
    <t>MEMORIAS DE CALCULO COSTOS VARIABLES</t>
  </si>
  <si>
    <t>MEMORIA DE CALCULO MATERIA PRIMA  E INSUMOS  PARA 1 SUCURSAL</t>
  </si>
  <si>
    <t>PARA 9 SUCURSALES</t>
  </si>
  <si>
    <t>CANT</t>
  </si>
  <si>
    <t>C.U.</t>
  </si>
  <si>
    <t>TOTALES</t>
  </si>
  <si>
    <t>TELEFONÍA</t>
  </si>
  <si>
    <t>PIEZAS</t>
  </si>
  <si>
    <t>ACCESORIOS</t>
  </si>
  <si>
    <t>SALDO EN EL PORTAL</t>
  </si>
  <si>
    <t>MEMORIAS DE CALCULO GASTOS FIJOS</t>
  </si>
  <si>
    <t>MEMORIA DE CALCULO GASTOS DE ADMINISTRACIÓN</t>
  </si>
  <si>
    <t>MESES</t>
  </si>
  <si>
    <t>TOTAL ANUAL POR 1 SUCURSAL</t>
  </si>
  <si>
    <t>TOTAL ANUAL POR 9 SUCURSALES</t>
  </si>
  <si>
    <t>GASTOS ADMINISTRATIVOS</t>
  </si>
  <si>
    <t>MEMORIA DE CALCULO GASTOS DE VENTA</t>
  </si>
  <si>
    <t>NÓMINA</t>
  </si>
  <si>
    <t>MONTO</t>
  </si>
  <si>
    <t>DEPÓSITO</t>
  </si>
  <si>
    <t>RENTA DEL LOCAL</t>
  </si>
  <si>
    <t>SERVICIOS (LUZ, AGUA E INTERNET)</t>
  </si>
  <si>
    <t>PUBLICIDAD</t>
  </si>
  <si>
    <t>MEMORIA DE CALCULO GASTOS SOCIALES</t>
  </si>
  <si>
    <t>ISR</t>
  </si>
  <si>
    <t>IMSS</t>
  </si>
  <si>
    <t>BONOS</t>
  </si>
  <si>
    <t>PRIMA VACACIONAL</t>
  </si>
  <si>
    <t>AGUINALDO</t>
  </si>
  <si>
    <t>TOTAL EGRESOS FIJOS</t>
  </si>
  <si>
    <t>MEMORIA  DE CALCULO GASTOS FIJOS PARA LA INVERSION FIJA</t>
  </si>
  <si>
    <t>TOTAL POR 1 SUCURSAL</t>
  </si>
  <si>
    <t>TOTAL DEL P.I.</t>
  </si>
  <si>
    <t>MEMORIAS DE INGRESOS</t>
  </si>
  <si>
    <t>CONCEPTOS</t>
  </si>
  <si>
    <t>INGRESOS POR VENTA MENSUAL AÑO 1</t>
  </si>
  <si>
    <t>MES</t>
  </si>
  <si>
    <t>INGRESOS POR PRODUCTOS (telefonía y accesorios)]</t>
  </si>
  <si>
    <t xml:space="preserve">ANUAL </t>
  </si>
  <si>
    <t>TOTAL DE INGRESOS</t>
  </si>
  <si>
    <t>INGRESOS POR VENTA MENSUAL AÑO 2</t>
  </si>
  <si>
    <t>INGRESOS POR VENTA MENSUAL AÑO 3</t>
  </si>
  <si>
    <t>INGRESOS POR VENTA MENSUAL AÑO 4</t>
  </si>
  <si>
    <t>CALCULO DE DEPRECIACIONES Y AMORTIZACIONES</t>
  </si>
  <si>
    <t xml:space="preserve"> MUEBLES Y EQUIPO </t>
  </si>
  <si>
    <t>VALOR</t>
  </si>
  <si>
    <t>VIDA UTIL (AÑOS)</t>
  </si>
  <si>
    <t>TASA DE DEPREC.</t>
  </si>
  <si>
    <t>DEPRECIACION (ANUAL)</t>
  </si>
  <si>
    <t>DEPRECIACION (MENSUAL)</t>
  </si>
  <si>
    <t>DEPRC. ACUM</t>
  </si>
  <si>
    <t>REMANENTE</t>
  </si>
  <si>
    <t>10 años</t>
  </si>
  <si>
    <t>3 años</t>
  </si>
  <si>
    <t>AMORTIZACIÓN DE LA DEUDA</t>
  </si>
  <si>
    <t>PROYECTO:</t>
  </si>
  <si>
    <t>SOCIEDAD</t>
  </si>
  <si>
    <t xml:space="preserve">BENEFICIARIOS: </t>
  </si>
  <si>
    <t>TABLA DE AMORTIZACION DE LA DEUDA</t>
  </si>
  <si>
    <t>TASA DE INTERES</t>
  </si>
  <si>
    <t>INTERES</t>
  </si>
  <si>
    <t>DEUDA ACUMULADA</t>
  </si>
  <si>
    <t>PAGO CAPITAL</t>
  </si>
  <si>
    <t>PAGO INTERES</t>
  </si>
  <si>
    <t>PAGO TOTAL</t>
  </si>
  <si>
    <t>SALDO</t>
  </si>
  <si>
    <t>FECHAS DE PAGO</t>
  </si>
  <si>
    <t>PRIMERA MINISTRACIÓN</t>
  </si>
  <si>
    <t xml:space="preserve">MONTO: </t>
  </si>
  <si>
    <t>SOLO NECESITO 1 MINISTRACIÓN PORQUE EN EL PRIMER MES NECESITO TODA LA INVERSIÓN PARA EMPEZAR A OPERAR LA PRIMER SUCURSAL</t>
  </si>
  <si>
    <t>FECHA:</t>
  </si>
  <si>
    <t>SEGUNDA MINISTRACIÓN</t>
  </si>
  <si>
    <t>COSTOS DE PRODUCCION AÑO 1</t>
  </si>
  <si>
    <t>VARIABLES</t>
  </si>
  <si>
    <t>TOTAL VARIABLES</t>
  </si>
  <si>
    <t>TOTAL FIJOS</t>
  </si>
  <si>
    <t>TOTAL COSTO OPERACIÓN</t>
  </si>
  <si>
    <t>AÑO 1</t>
  </si>
  <si>
    <t>AÑO 2</t>
  </si>
  <si>
    <t>AÑO 3</t>
  </si>
  <si>
    <t>AÑO 4</t>
  </si>
  <si>
    <t>AÑO 5</t>
  </si>
  <si>
    <t>4.9 PUNTO DE EQUILIBRIO</t>
  </si>
  <si>
    <t>EJEMPLO Y VIDEO FLAVIO</t>
  </si>
  <si>
    <t>VENTAS</t>
  </si>
  <si>
    <t>COSTOS DE OPERACION</t>
  </si>
  <si>
    <t>COSTOS VARIABLES</t>
  </si>
  <si>
    <t>COSTOS FIJOS</t>
  </si>
  <si>
    <t>UTILIDAD DE OPERACIÓN</t>
  </si>
  <si>
    <t>IMPUESTOS</t>
  </si>
  <si>
    <t>UTILIDAD NETA</t>
  </si>
  <si>
    <t>PUNTO DE EQUILIBRIO</t>
  </si>
  <si>
    <t>como % de ventas</t>
  </si>
  <si>
    <t>UTILIDAD POR SOCIO</t>
  </si>
  <si>
    <t>GRÁFICA DEL PUNTO DE EQUILIBRIO</t>
  </si>
  <si>
    <t>SENSIBILIZACION</t>
  </si>
  <si>
    <t>PARA EL PRIMER AÑO</t>
  </si>
  <si>
    <t>CAMBIO EN VENTAS</t>
  </si>
  <si>
    <t>CAMBIO EN COSTOS</t>
  </si>
  <si>
    <t>TOTAL PROYECTO</t>
  </si>
  <si>
    <t>COSTOS TOTALES</t>
  </si>
  <si>
    <t>RELACION B/C</t>
  </si>
  <si>
    <t>PARA EL SEGUNDO AÑO</t>
  </si>
  <si>
    <t>PARA EL TERCER AÑO</t>
  </si>
  <si>
    <t>PARA EL CUARTO AÑO</t>
  </si>
  <si>
    <t>PARA EL QUINTO AÑO</t>
  </si>
  <si>
    <t xml:space="preserve">     VAN, TIR Y  B/C</t>
  </si>
  <si>
    <t>TASA DE ACTUALIZACIÓN</t>
  </si>
  <si>
    <t>AÑO</t>
  </si>
  <si>
    <t xml:space="preserve">COSTOS  </t>
  </si>
  <si>
    <t xml:space="preserve">FLUJO DE EFECTIVO </t>
  </si>
  <si>
    <t xml:space="preserve"> TASA</t>
  </si>
  <si>
    <t xml:space="preserve"> (1+t)-n</t>
  </si>
  <si>
    <t>ACTUALIZADOS</t>
  </si>
  <si>
    <t>VAN</t>
  </si>
  <si>
    <t>TIR</t>
  </si>
  <si>
    <t>B/C</t>
  </si>
  <si>
    <t>BALANCE GENERAL PROFORMA</t>
  </si>
  <si>
    <t>CONCEPTO FIJO</t>
  </si>
  <si>
    <t>ACTIVO CIRCULANTE</t>
  </si>
  <si>
    <t>Total activo circulante</t>
  </si>
  <si>
    <t>ACTIVO FIJO</t>
  </si>
  <si>
    <t>TOTAL DE ACTIVO FIJO</t>
  </si>
  <si>
    <t>PASIVO</t>
  </si>
  <si>
    <t>TOTAL  PASIVO</t>
  </si>
  <si>
    <t>CAPITAL CONTABLE</t>
  </si>
  <si>
    <t>1 de enero al 31 de diciembre de 2024</t>
  </si>
  <si>
    <t>ESTADO DE RESULTADOS MICEL DISTRIBUIDOR AUTORIZADO TELCEL</t>
  </si>
  <si>
    <t>Ventas</t>
  </si>
  <si>
    <t>Comisiones</t>
  </si>
  <si>
    <t>Costo de ventas</t>
  </si>
  <si>
    <t>Utilidad bruta</t>
  </si>
  <si>
    <t>Gastos de operación</t>
  </si>
  <si>
    <t>Gastos administrativos</t>
  </si>
  <si>
    <t>Gastos de venta</t>
  </si>
  <si>
    <t>Utilidad de operación</t>
  </si>
  <si>
    <t>utilidad antes de impuestos</t>
  </si>
  <si>
    <t>utilidad neta</t>
  </si>
  <si>
    <t>CRONOGRAMA DE ACTIVIDADES</t>
  </si>
  <si>
    <t xml:space="preserve">               CRONOGRAMA DE ACTIVIDADES</t>
  </si>
  <si>
    <t xml:space="preserve">               CRONOGRAMA DE ACTIVIDADES SEGUNDO AÑO</t>
  </si>
  <si>
    <t xml:space="preserve">               CRONOGRAMA DE ACTIVIDADES TERCER AÑO</t>
  </si>
  <si>
    <t xml:space="preserve">               CRONOGRAMA DE ACTIVIDADES CUARTO AÑO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</si>
</sst>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_-&quot;$&quot;* #,##0.00_-;\-&quot;$&quot;* #,##0.00_-;_-&quot;$&quot;* &quot;-&quot;??_-;_-@"/>
    <numFmt numFmtId="165" formatCode="_-* #,##0.00\ _€_-;\-* #,##0.00\ _€_-;_-* &quot;-&quot;??\ _€_-;_-@"/>
    <numFmt numFmtId="166" formatCode="_-* #,##0.00_-;\-* #,##0.00_-;_-* &quot;-&quot;??_-;_-@"/>
    <numFmt numFmtId="167" formatCode="&quot;$&quot;#,##0.00"/>
    <numFmt numFmtId="168" formatCode="&quot;$&quot;#,##0.00_);[Red]\(&quot;$&quot;#,##0.00\)"/>
    <numFmt numFmtId="169" formatCode="_(* #,##0_);_(* \(#,##0\);_(* &quot;-&quot;_);_(@_)"/>
    <numFmt numFmtId="170" formatCode="&quot;$&quot;#,##0.00_);\(&quot;$&quot;#,##0.00\)"/>
    <numFmt numFmtId="171" formatCode="_(&quot;$&quot;* #,##0.0_);_(&quot;$&quot;* \(#,##0.0\);_(&quot;$&quot;* &quot;-&quot;??_);_(@_)"/>
    <numFmt numFmtId="172" formatCode="0.00000"/>
    <numFmt numFmtId="173" formatCode="0.000"/>
    <numFmt numFmtId="174" formatCode="&quot;$&quot;#,##0"/>
    <numFmt numFmtId="175" formatCode="[$$-80A]#,##0.00"/>
    <numFmt numFmtId="176" formatCode="0.0%"/>
    <numFmt numFmtId="177" formatCode="dd/mm/yyyy"/>
    <numFmt numFmtId="178" formatCode="&quot;$&quot;#,##0.00;[Red]\-&quot;$&quot;#,##0.00"/>
  </numFmts>
  <fonts count="42">
    <font>
      <sz val="10.0"/>
      <color rgb="FF000000"/>
      <name val="Arial"/>
      <scheme val="minor"/>
    </font>
    <font>
      <b/>
      <sz val="16.0"/>
      <color theme="1"/>
      <name val="Arial"/>
    </font>
    <font>
      <b/>
      <sz val="14.0"/>
      <color theme="1"/>
      <name val="Arial"/>
    </font>
    <font>
      <sz val="12.0"/>
      <color theme="1"/>
      <name val="Arial"/>
    </font>
    <font>
      <b/>
      <sz val="12.0"/>
      <color theme="1"/>
      <name val="Arial"/>
    </font>
    <font/>
    <font>
      <sz val="12.0"/>
      <color rgb="FF0D0D0D"/>
      <name val="Arial"/>
    </font>
    <font>
      <sz val="10.0"/>
      <color theme="1"/>
      <name val="Arial"/>
    </font>
    <font>
      <sz val="12.0"/>
      <color rgb="FF000000"/>
      <name val="Arial"/>
    </font>
    <font>
      <b/>
      <sz val="12.0"/>
      <color theme="1"/>
      <name val="Arial Narrow"/>
    </font>
    <font>
      <sz val="12.0"/>
      <color theme="1"/>
      <name val="Arial Narrow"/>
    </font>
    <font>
      <b/>
      <sz val="12.0"/>
      <color rgb="FF339966"/>
      <name val="Arial Narrow"/>
    </font>
    <font>
      <b/>
      <sz val="10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6.0"/>
      <color theme="1"/>
      <name val="Arial"/>
    </font>
    <font>
      <sz val="6.0"/>
      <color theme="1"/>
      <name val="Arial"/>
    </font>
    <font>
      <b/>
      <sz val="12.0"/>
      <color theme="1"/>
      <name val="Arial"/>
      <scheme val="minor"/>
    </font>
    <font>
      <b/>
      <sz val="14.0"/>
      <color rgb="FF000000"/>
      <name val="Arial"/>
    </font>
    <font>
      <sz val="11.0"/>
      <color rgb="FF000000"/>
      <name val="Arial"/>
    </font>
    <font>
      <b/>
      <sz val="12.0"/>
      <color rgb="FF000000"/>
      <name val="Arial"/>
    </font>
    <font>
      <sz val="13.0"/>
      <color rgb="FF000000"/>
      <name val="Arial"/>
    </font>
    <font>
      <b/>
      <sz val="13.0"/>
      <color rgb="FF000000"/>
      <name val="Arial"/>
    </font>
    <font>
      <sz val="8.0"/>
      <color rgb="FF000000"/>
      <name val="Arial"/>
    </font>
    <font>
      <i/>
      <sz val="10.0"/>
      <color theme="1"/>
      <name val="Arial"/>
    </font>
    <font>
      <b/>
      <sz val="14.0"/>
      <color rgb="FF000000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6.0"/>
      <color rgb="FF000000"/>
      <name val="Arial"/>
    </font>
    <font>
      <sz val="14.0"/>
      <color theme="1"/>
      <name val="Arial"/>
    </font>
    <font>
      <b/>
      <i/>
      <sz val="12.0"/>
      <color theme="1"/>
      <name val="Arial"/>
    </font>
    <font>
      <b/>
      <sz val="16.0"/>
      <color theme="1"/>
      <name val="Calibri"/>
    </font>
    <font>
      <sz val="11.0"/>
      <color theme="1"/>
      <name val="Calibri"/>
    </font>
    <font>
      <b/>
      <sz val="8.0"/>
      <color rgb="FF000000"/>
      <name val="Arial"/>
    </font>
    <font>
      <sz val="8.0"/>
      <color theme="1"/>
      <name val="Arial"/>
    </font>
    <font>
      <sz val="12.0"/>
      <color rgb="FF008080"/>
      <name val="Arial"/>
    </font>
    <font>
      <sz val="12.0"/>
      <color rgb="FFFFFF00"/>
      <name val="Arial"/>
    </font>
    <font>
      <sz val="12.0"/>
      <color rgb="FFFFFFFF"/>
      <name val="Arial"/>
    </font>
    <font>
      <b/>
      <sz val="7.0"/>
      <color theme="1"/>
      <name val="Arial"/>
    </font>
    <font>
      <sz val="7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9F9F9"/>
        <bgColor rgb="FFF9F9F9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</borders>
  <cellStyleXfs count="1">
    <xf borderId="0" fillId="0" fontId="0" numFmtId="0" applyAlignment="1" applyFont="1"/>
  </cellStyleXfs>
  <cellXfs count="3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1" fillId="2" fontId="4" numFmtId="9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3" numFmtId="4" xfId="0" applyAlignment="1" applyFont="1" applyNumberFormat="1">
      <alignment horizontal="center" shrinkToFit="0" vertical="bottom" wrapText="0"/>
    </xf>
    <xf borderId="0" fillId="0" fontId="4" numFmtId="9" xfId="0" applyAlignment="1" applyFont="1" applyNumberFormat="1">
      <alignment shrinkToFit="0" vertical="bottom" wrapText="0"/>
    </xf>
    <xf borderId="2" fillId="3" fontId="4" numFmtId="0" xfId="0" applyAlignment="1" applyBorder="1" applyFill="1" applyFont="1">
      <alignment shrinkToFit="0" vertical="bottom" wrapText="0"/>
    </xf>
    <xf borderId="3" fillId="3" fontId="4" numFmtId="0" xfId="0" applyAlignment="1" applyBorder="1" applyFont="1">
      <alignment horizontal="center" shrinkToFit="0" vertical="bottom" wrapText="0"/>
    </xf>
    <xf borderId="2" fillId="3" fontId="4" numFmtId="0" xfId="0" applyAlignment="1" applyBorder="1" applyFont="1">
      <alignment horizontal="center" shrinkToFit="0" vertical="bottom" wrapText="0"/>
    </xf>
    <xf borderId="4" fillId="3" fontId="4" numFmtId="0" xfId="0" applyAlignment="1" applyBorder="1" applyFont="1">
      <alignment horizontal="center" shrinkToFit="0" vertical="bottom" wrapText="0"/>
    </xf>
    <xf borderId="5" fillId="3" fontId="4" numFmtId="0" xfId="0" applyAlignment="1" applyBorder="1" applyFont="1">
      <alignment horizontal="center" shrinkToFit="0" vertical="bottom" wrapText="0"/>
    </xf>
    <xf borderId="6" fillId="0" fontId="5" numFmtId="0" xfId="0" applyBorder="1" applyFont="1"/>
    <xf borderId="7" fillId="3" fontId="4" numFmtId="0" xfId="0" applyAlignment="1" applyBorder="1" applyFont="1">
      <alignment shrinkToFit="0" vertical="bottom" wrapText="0"/>
    </xf>
    <xf borderId="7" fillId="3" fontId="4" numFmtId="0" xfId="0" applyAlignment="1" applyBorder="1" applyFont="1">
      <alignment horizontal="center" shrinkToFit="0" vertical="bottom" wrapText="0"/>
    </xf>
    <xf borderId="8" fillId="3" fontId="4" numFmtId="0" xfId="0" applyAlignment="1" applyBorder="1" applyFont="1">
      <alignment horizontal="center" shrinkToFit="0" vertical="bottom" wrapText="0"/>
    </xf>
    <xf borderId="9" fillId="3" fontId="4" numFmtId="0" xfId="0" applyAlignment="1" applyBorder="1" applyFont="1">
      <alignment horizontal="center" shrinkToFit="0" vertical="bottom" wrapText="0"/>
    </xf>
    <xf borderId="1" fillId="3" fontId="4" numFmtId="0" xfId="0" applyAlignment="1" applyBorder="1" applyFont="1">
      <alignment horizontal="center" shrinkToFit="0" vertical="bottom" wrapText="0"/>
    </xf>
    <xf borderId="10" fillId="4" fontId="4" numFmtId="0" xfId="0" applyAlignment="1" applyBorder="1" applyFill="1" applyFont="1">
      <alignment shrinkToFit="0" vertical="bottom" wrapText="0"/>
    </xf>
    <xf borderId="1" fillId="0" fontId="6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right" vertical="bottom"/>
    </xf>
    <xf borderId="1" fillId="0" fontId="3" numFmtId="4" xfId="0" applyAlignment="1" applyBorder="1" applyFont="1" applyNumberFormat="1">
      <alignment horizontal="right" vertical="bottom"/>
    </xf>
    <xf borderId="1" fillId="0" fontId="3" numFmtId="164" xfId="0" applyAlignment="1" applyBorder="1" applyFont="1" applyNumberFormat="1">
      <alignment horizontal="center"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1" fillId="0" fontId="3" numFmtId="3" xfId="0" applyAlignment="1" applyBorder="1" applyFont="1" applyNumberFormat="1">
      <alignment horizontal="right" vertical="bottom"/>
    </xf>
    <xf borderId="1" fillId="0" fontId="3" numFmtId="164" xfId="0" applyAlignment="1" applyBorder="1" applyFont="1" applyNumberFormat="1">
      <alignment readingOrder="0" shrinkToFit="0" vertical="bottom" wrapText="0"/>
    </xf>
    <xf borderId="5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right" vertical="bottom"/>
    </xf>
    <xf borderId="1" fillId="0" fontId="3" numFmtId="164" xfId="0" applyAlignment="1" applyBorder="1" applyFont="1" applyNumberFormat="1">
      <alignment horizontal="center" readingOrder="0" shrinkToFit="0" vertical="bottom" wrapText="0"/>
    </xf>
    <xf borderId="11" fillId="0" fontId="3" numFmtId="0" xfId="0" applyAlignment="1" applyBorder="1" applyFont="1">
      <alignment vertical="bottom"/>
    </xf>
    <xf borderId="11" fillId="0" fontId="3" numFmtId="0" xfId="0" applyAlignment="1" applyBorder="1" applyFont="1">
      <alignment horizontal="right" vertical="bottom"/>
    </xf>
    <xf borderId="5" fillId="0" fontId="4" numFmtId="0" xfId="0" applyAlignment="1" applyBorder="1" applyFont="1">
      <alignment shrinkToFit="0" vertical="bottom" wrapText="0"/>
    </xf>
    <xf borderId="1" fillId="0" fontId="4" numFmtId="164" xfId="0" applyAlignment="1" applyBorder="1" applyFont="1" applyNumberFormat="1">
      <alignment horizontal="center" shrinkToFit="0" vertical="bottom" wrapText="0"/>
    </xf>
    <xf borderId="0" fillId="0" fontId="7" numFmtId="164" xfId="0" applyAlignment="1" applyFont="1" applyNumberFormat="1">
      <alignment shrinkToFit="0" vertical="bottom" wrapText="0"/>
    </xf>
    <xf borderId="5" fillId="4" fontId="4" numFmtId="0" xfId="0" applyAlignment="1" applyBorder="1" applyFont="1">
      <alignment horizontal="left" readingOrder="0" shrinkToFit="0" vertical="bottom" wrapText="0"/>
    </xf>
    <xf borderId="1" fillId="2" fontId="4" numFmtId="0" xfId="0" applyAlignment="1" applyBorder="1" applyFont="1">
      <alignment shrinkToFit="0" vertical="bottom" wrapText="0"/>
    </xf>
    <xf borderId="1" fillId="2" fontId="3" numFmtId="164" xfId="0" applyAlignment="1" applyBorder="1" applyFont="1" applyNumberFormat="1">
      <alignment horizontal="center" shrinkToFit="0" vertical="bottom" wrapText="0"/>
    </xf>
    <xf borderId="12" fillId="0" fontId="8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bottom" wrapText="0"/>
    </xf>
    <xf borderId="0" fillId="0" fontId="7" numFmtId="165" xfId="0" applyAlignment="1" applyFont="1" applyNumberForma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13" fillId="0" fontId="3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left" shrinkToFit="0" vertical="center" wrapText="1"/>
    </xf>
    <xf borderId="13" fillId="0" fontId="3" numFmtId="166" xfId="0" applyAlignment="1" applyBorder="1" applyFont="1" applyNumberFormat="1">
      <alignment shrinkToFit="0" vertical="bottom" wrapText="0"/>
    </xf>
    <xf borderId="13" fillId="0" fontId="3" numFmtId="164" xfId="0" applyAlignment="1" applyBorder="1" applyFont="1" applyNumberFormat="1">
      <alignment shrinkToFit="0" vertical="bottom" wrapText="0"/>
    </xf>
    <xf borderId="13" fillId="0" fontId="4" numFmtId="4" xfId="0" applyAlignment="1" applyBorder="1" applyFont="1" applyNumberFormat="1">
      <alignment horizontal="center" shrinkToFit="0" vertical="bottom" wrapText="0"/>
    </xf>
    <xf borderId="14" fillId="0" fontId="4" numFmtId="0" xfId="0" applyAlignment="1" applyBorder="1" applyFont="1">
      <alignment horizontal="left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3" fillId="0" fontId="4" numFmtId="166" xfId="0" applyAlignment="1" applyBorder="1" applyFont="1" applyNumberFormat="1">
      <alignment shrinkToFit="0" vertical="bottom" wrapText="0"/>
    </xf>
    <xf borderId="13" fillId="0" fontId="4" numFmtId="164" xfId="0" applyAlignment="1" applyBorder="1" applyFont="1" applyNumberFormat="1">
      <alignment shrinkToFit="0" vertical="bottom" wrapText="0"/>
    </xf>
    <xf borderId="14" fillId="0" fontId="4" numFmtId="0" xfId="0" applyAlignment="1" applyBorder="1" applyFont="1">
      <alignment shrinkToFit="0" vertical="bottom" wrapText="0"/>
    </xf>
    <xf borderId="13" fillId="0" fontId="3" numFmtId="0" xfId="0" applyAlignment="1" applyBorder="1" applyFont="1">
      <alignment horizontal="center" shrinkToFit="0" vertical="bottom" wrapText="0"/>
    </xf>
    <xf borderId="13" fillId="0" fontId="3" numFmtId="3" xfId="0" applyAlignment="1" applyBorder="1" applyFont="1" applyNumberFormat="1">
      <alignment horizontal="center" shrinkToFit="0" vertical="bottom" wrapText="0"/>
    </xf>
    <xf borderId="13" fillId="0" fontId="3" numFmtId="4" xfId="0" applyAlignment="1" applyBorder="1" applyFont="1" applyNumberFormat="1">
      <alignment horizontal="center" shrinkToFit="0" vertical="bottom" wrapText="0"/>
    </xf>
    <xf borderId="1" fillId="0" fontId="3" numFmtId="3" xfId="0" applyAlignment="1" applyBorder="1" applyFont="1" applyNumberFormat="1">
      <alignment horizontal="center" shrinkToFit="0" vertical="bottom" wrapText="0"/>
    </xf>
    <xf borderId="1" fillId="0" fontId="3" numFmtId="4" xfId="0" applyAlignment="1" applyBorder="1" applyFont="1" applyNumberFormat="1">
      <alignment horizontal="center" shrinkToFit="0" vertical="bottom" wrapText="0"/>
    </xf>
    <xf borderId="13" fillId="0" fontId="4" numFmtId="0" xfId="0" applyAlignment="1" applyBorder="1" applyFont="1">
      <alignment shrinkToFit="0" vertical="bottom" wrapText="0"/>
    </xf>
    <xf borderId="13" fillId="0" fontId="3" numFmtId="0" xfId="0" applyAlignment="1" applyBorder="1" applyFont="1">
      <alignment shrinkToFit="0" vertical="bottom" wrapText="0"/>
    </xf>
    <xf borderId="14" fillId="0" fontId="3" numFmtId="0" xfId="0" applyAlignment="1" applyBorder="1" applyFont="1">
      <alignment shrinkToFit="0" vertical="bottom" wrapText="0"/>
    </xf>
    <xf borderId="0" fillId="0" fontId="7" numFmtId="4" xfId="0" applyAlignment="1" applyFont="1" applyNumberFormat="1">
      <alignment shrinkToFit="0" vertical="bottom" wrapText="0"/>
    </xf>
    <xf borderId="1" fillId="0" fontId="4" numFmtId="4" xfId="0" applyAlignment="1" applyBorder="1" applyFont="1" applyNumberFormat="1">
      <alignment horizontal="center" shrinkToFit="0" vertical="bottom" wrapText="0"/>
    </xf>
    <xf borderId="1" fillId="2" fontId="9" numFmtId="0" xfId="0" applyAlignment="1" applyBorder="1" applyFont="1">
      <alignment shrinkToFit="0" vertical="bottom" wrapText="0"/>
    </xf>
    <xf borderId="1" fillId="2" fontId="10" numFmtId="0" xfId="0" applyAlignment="1" applyBorder="1" applyFont="1">
      <alignment shrinkToFit="0" vertical="bottom" wrapText="0"/>
    </xf>
    <xf borderId="1" fillId="2" fontId="9" numFmtId="164" xfId="0" applyAlignment="1" applyBorder="1" applyFont="1" applyNumberFormat="1">
      <alignment shrinkToFit="0" vertical="bottom" wrapText="0"/>
    </xf>
    <xf borderId="1" fillId="2" fontId="4" numFmtId="164" xfId="0" applyAlignment="1" applyBorder="1" applyFont="1" applyNumberFormat="1">
      <alignment shrinkToFit="0" vertical="bottom" wrapText="0"/>
    </xf>
    <xf borderId="1" fillId="2" fontId="11" numFmtId="0" xfId="0" applyAlignment="1" applyBorder="1" applyFont="1">
      <alignment shrinkToFit="0" vertical="bottom" wrapText="0"/>
    </xf>
    <xf borderId="1" fillId="2" fontId="11" numFmtId="9" xfId="0" applyAlignment="1" applyBorder="1" applyFont="1" applyNumberFormat="1">
      <alignment shrinkToFit="0" vertical="bottom" wrapText="0"/>
    </xf>
    <xf borderId="0" fillId="0" fontId="3" numFmtId="4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0" fillId="0" fontId="12" numFmtId="165" xfId="0" applyAlignment="1" applyFont="1" applyNumberFormat="1">
      <alignment readingOrder="0" shrinkToFit="0" vertical="bottom" wrapText="1"/>
    </xf>
    <xf borderId="1" fillId="0" fontId="7" numFmtId="4" xfId="0" applyAlignment="1" applyBorder="1" applyFont="1" applyNumberFormat="1">
      <alignment horizontal="right" shrinkToFit="0" vertical="bottom" wrapText="0"/>
    </xf>
    <xf borderId="5" fillId="5" fontId="13" numFmtId="0" xfId="0" applyAlignment="1" applyBorder="1" applyFill="1" applyFont="1">
      <alignment horizontal="center" readingOrder="0"/>
    </xf>
    <xf borderId="15" fillId="0" fontId="5" numFmtId="0" xfId="0" applyBorder="1" applyFont="1"/>
    <xf borderId="5" fillId="6" fontId="13" numFmtId="0" xfId="0" applyAlignment="1" applyBorder="1" applyFill="1" applyFont="1">
      <alignment horizontal="center" readingOrder="0"/>
    </xf>
    <xf borderId="1" fillId="0" fontId="7" numFmtId="165" xfId="0" applyAlignment="1" applyBorder="1" applyFont="1" applyNumberFormat="1">
      <alignment horizontal="right" readingOrder="0" shrinkToFit="0" vertical="bottom" wrapText="0"/>
    </xf>
    <xf borderId="1" fillId="5" fontId="14" numFmtId="0" xfId="0" applyAlignment="1" applyBorder="1" applyFont="1">
      <alignment readingOrder="0"/>
    </xf>
    <xf borderId="1" fillId="6" fontId="14" numFmtId="0" xfId="0" applyAlignment="1" applyBorder="1" applyFont="1">
      <alignment readingOrder="0"/>
    </xf>
    <xf borderId="1" fillId="6" fontId="7" numFmtId="4" xfId="0" applyAlignment="1" applyBorder="1" applyFont="1" applyNumberFormat="1">
      <alignment readingOrder="0" shrinkToFit="0" vertical="bottom" wrapText="0"/>
    </xf>
    <xf borderId="1" fillId="0" fontId="14" numFmtId="0" xfId="0" applyAlignment="1" applyBorder="1" applyFont="1">
      <alignment horizontal="right"/>
    </xf>
    <xf borderId="1" fillId="5" fontId="14" numFmtId="0" xfId="0" applyBorder="1" applyFont="1"/>
    <xf borderId="1" fillId="6" fontId="14" numFmtId="0" xfId="0" applyBorder="1" applyFont="1"/>
    <xf borderId="1" fillId="5" fontId="14" numFmtId="4" xfId="0" applyAlignment="1" applyBorder="1" applyFont="1" applyNumberFormat="1">
      <alignment readingOrder="0"/>
    </xf>
    <xf borderId="1" fillId="6" fontId="14" numFmtId="4" xfId="0" applyAlignment="1" applyBorder="1" applyFont="1" applyNumberFormat="1">
      <alignment readingOrder="0"/>
    </xf>
    <xf borderId="1" fillId="0" fontId="14" numFmtId="0" xfId="0" applyAlignment="1" applyBorder="1" applyFont="1">
      <alignment horizontal="right" readingOrder="0"/>
    </xf>
    <xf borderId="1" fillId="5" fontId="14" numFmtId="10" xfId="0" applyAlignment="1" applyBorder="1" applyFont="1" applyNumberFormat="1">
      <alignment readingOrder="0"/>
    </xf>
    <xf borderId="1" fillId="6" fontId="7" numFmtId="10" xfId="0" applyAlignment="1" applyBorder="1" applyFont="1" applyNumberFormat="1">
      <alignment readingOrder="0" shrinkToFit="0" vertical="bottom" wrapText="0"/>
    </xf>
    <xf borderId="1" fillId="6" fontId="14" numFmtId="10" xfId="0" applyAlignment="1" applyBorder="1" applyFont="1" applyNumberFormat="1">
      <alignment readingOrder="0"/>
    </xf>
    <xf borderId="0" fillId="0" fontId="15" numFmtId="0" xfId="0" applyFont="1"/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4" xfId="0" applyAlignment="1" applyFont="1" applyNumberFormat="1">
      <alignment horizontal="center" shrinkToFit="0" vertical="bottom" wrapText="0"/>
    </xf>
    <xf borderId="5" fillId="4" fontId="4" numFmtId="0" xfId="0" applyAlignment="1" applyBorder="1" applyFont="1">
      <alignment horizontal="center" shrinkToFit="0" vertical="bottom" wrapText="0"/>
    </xf>
    <xf borderId="5" fillId="2" fontId="4" numFmtId="0" xfId="0" applyAlignment="1" applyBorder="1" applyFont="1">
      <alignment horizontal="center" shrinkToFit="0" vertical="bottom" wrapText="0"/>
    </xf>
    <xf borderId="1" fillId="2" fontId="4" numFmtId="0" xfId="0" applyAlignment="1" applyBorder="1" applyFont="1">
      <alignment horizontal="center" shrinkToFit="0" vertical="bottom" wrapText="0"/>
    </xf>
    <xf borderId="16" fillId="0" fontId="4" numFmtId="0" xfId="0" applyAlignment="1" applyBorder="1" applyFont="1">
      <alignment horizontal="left" readingOrder="0" shrinkToFit="0" vertical="bottom" wrapText="0"/>
    </xf>
    <xf borderId="17" fillId="0" fontId="5" numFmtId="0" xfId="0" applyBorder="1" applyFont="1"/>
    <xf borderId="11" fillId="0" fontId="3" numFmtId="167" xfId="0" applyAlignment="1" applyBorder="1" applyFont="1" applyNumberFormat="1">
      <alignment horizontal="center" readingOrder="0" shrinkToFit="0" vertical="bottom" wrapText="0"/>
    </xf>
    <xf borderId="12" fillId="0" fontId="3" numFmtId="167" xfId="0" applyAlignment="1" applyBorder="1" applyFont="1" applyNumberFormat="1">
      <alignment horizontal="center" readingOrder="0" shrinkToFit="0" vertical="bottom" wrapText="0"/>
    </xf>
    <xf borderId="11" fillId="0" fontId="3" numFmtId="167" xfId="0" applyAlignment="1" applyBorder="1" applyFont="1" applyNumberFormat="1">
      <alignment horizontal="center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3" numFmtId="167" xfId="0" applyAlignment="1" applyBorder="1" applyFont="1" applyNumberFormat="1">
      <alignment horizontal="center" readingOrder="0" shrinkToFit="0" vertical="bottom" wrapText="0"/>
    </xf>
    <xf borderId="1" fillId="0" fontId="3" numFmtId="167" xfId="0" applyAlignment="1" applyBorder="1" applyFont="1" applyNumberFormat="1">
      <alignment horizontal="center"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1" fillId="0" fontId="3" numFmtId="167" xfId="0" applyAlignment="1" applyBorder="1" applyFont="1" applyNumberFormat="1">
      <alignment readingOrder="0" shrinkToFit="0" vertical="bottom" wrapText="0"/>
    </xf>
    <xf borderId="16" fillId="0" fontId="4" numFmtId="0" xfId="0" applyAlignment="1" applyBorder="1" applyFont="1">
      <alignment horizontal="center" shrinkToFit="0" vertical="bottom" wrapText="0"/>
    </xf>
    <xf borderId="18" fillId="0" fontId="3" numFmtId="167" xfId="0" applyAlignment="1" applyBorder="1" applyFont="1" applyNumberFormat="1">
      <alignment shrinkToFit="0" vertical="bottom" wrapText="0"/>
    </xf>
    <xf borderId="14" fillId="0" fontId="4" numFmtId="168" xfId="0" applyAlignment="1" applyBorder="1" applyFont="1" applyNumberFormat="1">
      <alignment horizontal="center" shrinkToFit="0" vertical="bottom" wrapText="0"/>
    </xf>
    <xf borderId="19" fillId="0" fontId="5" numFmtId="0" xfId="0" applyBorder="1" applyFont="1"/>
    <xf borderId="0" fillId="0" fontId="3" numFmtId="168" xfId="0" applyAlignment="1" applyFont="1" applyNumberFormat="1">
      <alignment horizontal="center" shrinkToFit="0" vertical="bottom" wrapText="0"/>
    </xf>
    <xf borderId="20" fillId="0" fontId="3" numFmtId="3" xfId="0" applyAlignment="1" applyBorder="1" applyFont="1" applyNumberFormat="1">
      <alignment horizontal="center" shrinkToFit="0" vertical="bottom" wrapText="0"/>
    </xf>
    <xf borderId="13" fillId="0" fontId="3" numFmtId="4" xfId="0" applyAlignment="1" applyBorder="1" applyFont="1" applyNumberFormat="1">
      <alignment horizontal="center" readingOrder="0" shrinkToFit="0" vertical="bottom" wrapText="0"/>
    </xf>
    <xf borderId="13" fillId="0" fontId="3" numFmtId="169" xfId="0" applyAlignment="1" applyBorder="1" applyFont="1" applyNumberFormat="1">
      <alignment shrinkToFit="0" vertical="bottom" wrapText="0"/>
    </xf>
    <xf borderId="12" fillId="0" fontId="5" numFmtId="0" xfId="0" applyBorder="1" applyFont="1"/>
    <xf borderId="11" fillId="0" fontId="3" numFmtId="4" xfId="0" applyAlignment="1" applyBorder="1" applyFont="1" applyNumberFormat="1">
      <alignment shrinkToFit="0" vertical="bottom" wrapText="0"/>
    </xf>
    <xf borderId="11" fillId="0" fontId="4" numFmtId="4" xfId="0" applyAlignment="1" applyBorder="1" applyFont="1" applyNumberFormat="1">
      <alignment shrinkToFit="0" vertical="bottom" wrapText="0"/>
    </xf>
    <xf borderId="16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21" fillId="0" fontId="3" numFmtId="167" xfId="0" applyAlignment="1" applyBorder="1" applyFont="1" applyNumberFormat="1">
      <alignment shrinkToFit="0" vertical="bottom" wrapText="0"/>
    </xf>
    <xf borderId="15" fillId="0" fontId="4" numFmtId="0" xfId="0" applyAlignment="1" applyBorder="1" applyFont="1">
      <alignment shrinkToFit="0" vertical="bottom" wrapText="0"/>
    </xf>
    <xf borderId="13" fillId="0" fontId="4" numFmtId="4" xfId="0" applyAlignment="1" applyBorder="1" applyFont="1" applyNumberFormat="1">
      <alignment shrinkToFit="0" vertical="bottom" wrapText="0"/>
    </xf>
    <xf borderId="1" fillId="0" fontId="4" numFmtId="4" xfId="0" applyAlignment="1" applyBorder="1" applyFont="1" applyNumberFormat="1">
      <alignment shrinkToFit="0" vertical="bottom" wrapText="0"/>
    </xf>
    <xf borderId="1" fillId="0" fontId="18" numFmtId="0" xfId="0" applyAlignment="1" applyBorder="1" applyFont="1">
      <alignment readingOrder="0"/>
    </xf>
    <xf borderId="22" fillId="0" fontId="4" numFmtId="0" xfId="0" applyAlignment="1" applyBorder="1" applyFont="1">
      <alignment shrinkToFit="0" vertical="bottom" wrapText="0"/>
    </xf>
    <xf borderId="13" fillId="0" fontId="4" numFmtId="170" xfId="0" applyAlignment="1" applyBorder="1" applyFont="1" applyNumberFormat="1">
      <alignment shrinkToFit="0" vertical="bottom" wrapText="0"/>
    </xf>
    <xf borderId="8" fillId="7" fontId="4" numFmtId="170" xfId="0" applyAlignment="1" applyBorder="1" applyFill="1" applyFont="1" applyNumberFormat="1">
      <alignment shrinkToFit="0" vertical="bottom" wrapText="0"/>
    </xf>
    <xf borderId="1" fillId="0" fontId="18" numFmtId="167" xfId="0" applyBorder="1" applyFont="1" applyNumberFormat="1"/>
    <xf borderId="0" fillId="0" fontId="3" numFmtId="170" xfId="0" applyAlignment="1" applyFont="1" applyNumberFormat="1">
      <alignment shrinkToFit="0" vertical="bottom" wrapText="0"/>
    </xf>
    <xf borderId="0" fillId="0" fontId="3" numFmtId="171" xfId="0" applyAlignment="1" applyFont="1" applyNumberFormat="1">
      <alignment shrinkToFit="0" vertical="bottom" wrapText="0"/>
    </xf>
    <xf borderId="14" fillId="0" fontId="4" numFmtId="0" xfId="0" applyAlignment="1" applyBorder="1" applyFont="1">
      <alignment readingOrder="0" shrinkToFit="0" vertical="bottom" wrapText="0"/>
    </xf>
    <xf borderId="13" fillId="0" fontId="3" numFmtId="167" xfId="0" applyAlignment="1" applyBorder="1" applyFont="1" applyNumberFormat="1">
      <alignment horizontal="center" readingOrder="0" shrinkToFit="0" vertical="bottom" wrapText="0"/>
    </xf>
    <xf borderId="5" fillId="0" fontId="4" numFmtId="0" xfId="0" applyAlignment="1" applyBorder="1" applyFont="1">
      <alignment horizontal="center" readingOrder="0" shrinkToFit="0" vertical="bottom" wrapText="0"/>
    </xf>
    <xf borderId="1" fillId="0" fontId="3" numFmtId="169" xfId="0" applyAlignment="1" applyBorder="1" applyFont="1" applyNumberFormat="1">
      <alignment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1" fillId="0" fontId="3" numFmtId="167" xfId="0" applyAlignment="1" applyBorder="1" applyFont="1" applyNumberFormat="1">
      <alignment shrinkToFit="0" vertical="bottom" wrapText="0"/>
    </xf>
    <xf borderId="5" fillId="0" fontId="4" numFmtId="168" xfId="0" applyAlignment="1" applyBorder="1" applyFont="1" applyNumberFormat="1">
      <alignment horizontal="center" shrinkToFit="0" vertical="bottom" wrapText="0"/>
    </xf>
    <xf borderId="1" fillId="0" fontId="3" numFmtId="168" xfId="0" applyAlignment="1" applyBorder="1" applyFont="1" applyNumberFormat="1">
      <alignment horizontal="center" shrinkToFit="0" vertical="bottom" wrapText="0"/>
    </xf>
    <xf borderId="1" fillId="0" fontId="3" numFmtId="4" xfId="0" applyAlignment="1" applyBorder="1" applyFont="1" applyNumberFormat="1">
      <alignment shrinkToFit="0" vertical="bottom" wrapText="0"/>
    </xf>
    <xf borderId="13" fillId="7" fontId="4" numFmtId="170" xfId="0" applyAlignment="1" applyBorder="1" applyFont="1" applyNumberFormat="1">
      <alignment shrinkToFit="0" vertical="bottom" wrapText="0"/>
    </xf>
    <xf borderId="0" fillId="0" fontId="16" numFmtId="4" xfId="0" applyAlignment="1" applyFont="1" applyNumberFormat="1">
      <alignment shrinkToFit="0" vertical="bottom" wrapText="0"/>
    </xf>
    <xf borderId="0" fillId="0" fontId="16" numFmtId="170" xfId="0" applyAlignment="1" applyFont="1" applyNumberFormat="1">
      <alignment shrinkToFit="0" vertical="bottom" wrapText="0"/>
    </xf>
    <xf borderId="5" fillId="4" fontId="4" numFmtId="0" xfId="0" applyAlignment="1" applyBorder="1" applyFont="1">
      <alignment horizontal="center" readingOrder="0" shrinkToFit="0" vertical="bottom" wrapText="0"/>
    </xf>
    <xf borderId="5" fillId="0" fontId="4" numFmtId="0" xfId="0" applyAlignment="1" applyBorder="1" applyFont="1">
      <alignment horizontal="left" readingOrder="0" shrinkToFit="0" vertical="bottom" wrapText="0"/>
    </xf>
    <xf borderId="6" fillId="0" fontId="4" numFmtId="167" xfId="0" applyAlignment="1" applyBorder="1" applyFont="1" applyNumberFormat="1">
      <alignment horizontal="center"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4" fontId="21" numFmtId="0" xfId="0" applyAlignment="1" applyBorder="1" applyFont="1">
      <alignment shrinkToFit="0" vertical="bottom" wrapText="0"/>
    </xf>
    <xf borderId="1" fillId="4" fontId="21" numFmtId="0" xfId="0" applyAlignment="1" applyBorder="1" applyFont="1">
      <alignment horizontal="center" shrinkToFit="0" vertical="bottom" wrapText="0"/>
    </xf>
    <xf borderId="1" fillId="0" fontId="21" numFmtId="0" xfId="0" applyAlignment="1" applyBorder="1" applyFont="1">
      <alignment shrinkToFit="0" vertical="bottom" wrapText="0"/>
    </xf>
    <xf borderId="1" fillId="0" fontId="22" numFmtId="167" xfId="0" applyAlignment="1" applyBorder="1" applyFont="1" applyNumberFormat="1">
      <alignment horizontal="center" shrinkToFit="0" vertical="bottom" wrapText="0"/>
    </xf>
    <xf borderId="1" fillId="0" fontId="22" numFmtId="167" xfId="0" applyAlignment="1" applyBorder="1" applyFont="1" applyNumberFormat="1">
      <alignment shrinkToFit="0" vertical="bottom" wrapText="0"/>
    </xf>
    <xf borderId="1" fillId="0" fontId="23" numFmtId="167" xfId="0" applyAlignment="1" applyBorder="1" applyFont="1" applyNumberFormat="1">
      <alignment shrinkToFit="0" vertical="bottom" wrapText="0"/>
    </xf>
    <xf borderId="1" fillId="6" fontId="2" numFmtId="0" xfId="0" applyAlignment="1" applyBorder="1" applyFont="1">
      <alignment readingOrder="0" shrinkToFit="0" vertical="bottom" wrapText="0"/>
    </xf>
    <xf borderId="1" fillId="0" fontId="2" numFmtId="167" xfId="0" applyAlignment="1" applyBorder="1" applyFont="1" applyNumberFormat="1">
      <alignment shrinkToFit="0" vertical="bottom" wrapText="0"/>
    </xf>
    <xf borderId="0" fillId="0" fontId="24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6" fontId="4" numFmtId="0" xfId="0" applyAlignment="1" applyBorder="1" applyFont="1">
      <alignment readingOrder="0" shrinkToFit="0" vertical="bottom" wrapText="0"/>
    </xf>
    <xf borderId="1" fillId="6" fontId="3" numFmtId="0" xfId="0" applyAlignment="1" applyBorder="1" applyFont="1">
      <alignment readingOrder="0" shrinkToFit="0" vertical="bottom" wrapText="0"/>
    </xf>
    <xf borderId="14" fillId="0" fontId="3" numFmtId="0" xfId="0" applyAlignment="1" applyBorder="1" applyFont="1">
      <alignment readingOrder="0" shrinkToFit="0" vertical="bottom" wrapText="0"/>
    </xf>
    <xf borderId="1" fillId="0" fontId="3" numFmtId="3" xfId="0" applyAlignment="1" applyBorder="1" applyFont="1" applyNumberFormat="1">
      <alignment horizontal="center" readingOrder="0" shrinkToFit="0" vertical="bottom" wrapText="0"/>
    </xf>
    <xf borderId="1" fillId="6" fontId="3" numFmtId="167" xfId="0" applyAlignment="1" applyBorder="1" applyFont="1" applyNumberFormat="1">
      <alignment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3" xfId="0" applyAlignment="1" applyFont="1" applyNumberFormat="1">
      <alignment horizontal="center" shrinkToFit="0" vertical="bottom" wrapText="0"/>
    </xf>
    <xf borderId="0" fillId="0" fontId="3" numFmtId="164" xfId="0" applyAlignment="1" applyFont="1" applyNumberFormat="1">
      <alignment horizontal="center" shrinkToFit="0" vertical="bottom" wrapText="0"/>
    </xf>
    <xf borderId="0" fillId="0" fontId="4" numFmtId="164" xfId="0" applyAlignment="1" applyFont="1" applyNumberFormat="1">
      <alignment horizontal="center" shrinkToFit="0" vertical="bottom" wrapText="0"/>
    </xf>
    <xf borderId="0" fillId="0" fontId="3" numFmtId="167" xfId="0" applyAlignment="1" applyFont="1" applyNumberForma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4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3" numFmtId="172" xfId="0" applyAlignment="1" applyFont="1" applyNumberFormat="1">
      <alignment shrinkToFit="0" vertical="bottom" wrapText="0"/>
    </xf>
    <xf borderId="0" fillId="0" fontId="3" numFmtId="2" xfId="0" applyAlignment="1" applyFont="1" applyNumberFormat="1">
      <alignment shrinkToFit="0" vertical="bottom" wrapText="0"/>
    </xf>
    <xf borderId="0" fillId="0" fontId="3" numFmtId="173" xfId="0" applyAlignment="1" applyFont="1" applyNumberFormat="1">
      <alignment shrinkToFit="0" vertical="bottom" wrapText="0"/>
    </xf>
    <xf borderId="0" fillId="0" fontId="4" numFmtId="2" xfId="0" applyAlignment="1" applyFont="1" applyNumberFormat="1">
      <alignment shrinkToFit="0" vertical="bottom" wrapText="0"/>
    </xf>
    <xf borderId="20" fillId="0" fontId="3" numFmtId="0" xfId="0" applyAlignment="1" applyBorder="1" applyFont="1">
      <alignment horizontal="center" shrinkToFit="0" vertical="top" wrapText="1"/>
    </xf>
    <xf borderId="5" fillId="8" fontId="4" numFmtId="0" xfId="0" applyAlignment="1" applyBorder="1" applyFill="1" applyFont="1">
      <alignment horizontal="center" shrinkToFit="0" vertical="bottom" wrapText="0"/>
    </xf>
    <xf borderId="1" fillId="8" fontId="4" numFmtId="0" xfId="0" applyAlignment="1" applyBorder="1" applyFont="1">
      <alignment horizontal="center" shrinkToFit="0" vertical="bottom" wrapText="0"/>
    </xf>
    <xf borderId="1" fillId="8" fontId="12" numFmtId="0" xfId="0" applyAlignment="1" applyBorder="1" applyFont="1">
      <alignment horizontal="center" shrinkToFit="0" vertical="bottom" wrapText="0"/>
    </xf>
    <xf borderId="0" fillId="0" fontId="14" numFmtId="0" xfId="0" applyAlignment="1" applyFont="1">
      <alignment readingOrder="0"/>
    </xf>
    <xf borderId="1" fillId="0" fontId="3" numFmtId="0" xfId="0" applyAlignment="1" applyBorder="1" applyFont="1">
      <alignment readingOrder="0" shrinkToFit="0" vertical="bottom" wrapText="0"/>
    </xf>
    <xf borderId="0" fillId="0" fontId="14" numFmtId="0" xfId="0" applyFont="1"/>
    <xf borderId="1" fillId="0" fontId="7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 shrinkToFit="0" vertical="bottom" wrapText="0"/>
    </xf>
    <xf borderId="1" fillId="0" fontId="8" numFmtId="3" xfId="0" applyAlignment="1" applyBorder="1" applyFont="1" applyNumberFormat="1">
      <alignment horizontal="center" shrinkToFit="0" vertical="bottom" wrapText="0"/>
    </xf>
    <xf borderId="1" fillId="0" fontId="8" numFmtId="164" xfId="0" applyAlignment="1" applyBorder="1" applyFont="1" applyNumberFormat="1">
      <alignment horizontal="center" shrinkToFit="0" vertical="bottom" wrapText="0"/>
    </xf>
    <xf borderId="1" fillId="8" fontId="21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8" numFmtId="3" xfId="0" applyAlignment="1" applyBorder="1" applyFont="1" applyNumberFormat="1">
      <alignment horizontal="center" readingOrder="0" shrinkToFit="0" vertical="bottom" wrapText="0"/>
    </xf>
    <xf borderId="1" fillId="0" fontId="8" numFmtId="167" xfId="0" applyAlignment="1" applyBorder="1" applyFont="1" applyNumberFormat="1">
      <alignment horizontal="center" readingOrder="0" shrinkToFit="0" vertical="bottom" wrapText="0"/>
    </xf>
    <xf borderId="1" fillId="0" fontId="8" numFmtId="167" xfId="0" applyAlignment="1" applyBorder="1" applyFont="1" applyNumberFormat="1">
      <alignment horizontal="center" shrinkToFit="0" vertical="bottom" wrapText="0"/>
    </xf>
    <xf borderId="1" fillId="0" fontId="8" numFmtId="174" xfId="0" applyAlignment="1" applyBorder="1" applyFont="1" applyNumberFormat="1">
      <alignment horizontal="center" readingOrder="0" shrinkToFit="0" vertical="bottom" wrapText="0"/>
    </xf>
    <xf borderId="0" fillId="0" fontId="8" numFmtId="167" xfId="0" applyAlignment="1" applyFont="1" applyNumberFormat="1">
      <alignment horizontal="center"/>
    </xf>
    <xf borderId="1" fillId="0" fontId="8" numFmtId="0" xfId="0" applyAlignment="1" applyBorder="1" applyFont="1">
      <alignment horizontal="center" readingOrder="0"/>
    </xf>
    <xf borderId="1" fillId="0" fontId="8" numFmtId="167" xfId="0" applyAlignment="1" applyBorder="1" applyFont="1" applyNumberFormat="1">
      <alignment horizontal="center" readingOrder="0"/>
    </xf>
    <xf borderId="1" fillId="0" fontId="8" numFmtId="174" xfId="0" applyAlignment="1" applyBorder="1" applyFont="1" applyNumberFormat="1">
      <alignment horizontal="center" shrinkToFit="0" vertical="bottom" wrapText="0"/>
    </xf>
    <xf borderId="0" fillId="0" fontId="8" numFmtId="167" xfId="0" applyAlignment="1" applyFont="1" applyNumberFormat="1">
      <alignment horizontal="center" readingOrder="0"/>
    </xf>
    <xf borderId="1" fillId="0" fontId="21" numFmtId="167" xfId="0" applyAlignment="1" applyBorder="1" applyFont="1" applyNumberFormat="1">
      <alignment horizontal="center" shrinkToFit="0" vertical="bottom" wrapText="0"/>
    </xf>
    <xf borderId="1" fillId="0" fontId="21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horizontal="center" shrinkToFit="0" vertical="bottom" wrapText="0"/>
    </xf>
    <xf borderId="5" fillId="8" fontId="21" numFmtId="0" xfId="0" applyAlignment="1" applyBorder="1" applyFont="1">
      <alignment horizontal="center" shrinkToFit="0" vertical="bottom" wrapText="0"/>
    </xf>
    <xf borderId="5" fillId="0" fontId="21" numFmtId="0" xfId="0" applyAlignment="1" applyBorder="1" applyFont="1">
      <alignment horizontal="center" shrinkToFit="0" vertical="bottom" wrapText="0"/>
    </xf>
    <xf borderId="5" fillId="0" fontId="8" numFmtId="0" xfId="0" applyAlignment="1" applyBorder="1" applyFont="1">
      <alignment horizontal="center" readingOrder="0" shrinkToFit="0" vertical="bottom" wrapText="0"/>
    </xf>
    <xf borderId="1" fillId="9" fontId="8" numFmtId="167" xfId="0" applyAlignment="1" applyBorder="1" applyFill="1" applyFont="1" applyNumberFormat="1">
      <alignment horizontal="center" readingOrder="0" vertical="top"/>
    </xf>
    <xf borderId="15" fillId="0" fontId="8" numFmtId="4" xfId="0" applyAlignment="1" applyBorder="1" applyFont="1" applyNumberFormat="1">
      <alignment horizontal="center" readingOrder="0" shrinkToFit="0" vertical="bottom" wrapText="0"/>
    </xf>
    <xf borderId="1" fillId="0" fontId="21" numFmtId="164" xfId="0" applyAlignment="1" applyBorder="1" applyFont="1" applyNumberFormat="1">
      <alignment horizontal="center" shrinkToFit="0" vertical="bottom" wrapText="0"/>
    </xf>
    <xf borderId="0" fillId="0" fontId="4" numFmtId="0" xfId="0" applyAlignment="1" applyFont="1">
      <alignment readingOrder="0" shrinkToFit="0" vertical="bottom" wrapText="1"/>
    </xf>
    <xf borderId="1" fillId="0" fontId="4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1" fillId="0" fontId="3" numFmtId="172" xfId="0" applyAlignment="1" applyBorder="1" applyFont="1" applyNumberFormat="1">
      <alignment shrinkToFit="0" vertical="bottom" wrapText="0"/>
    </xf>
    <xf borderId="1" fillId="0" fontId="3" numFmtId="2" xfId="0" applyAlignment="1" applyBorder="1" applyFont="1" applyNumberFormat="1">
      <alignment shrinkToFit="0" vertical="bottom" wrapText="0"/>
    </xf>
    <xf borderId="0" fillId="0" fontId="14" numFmtId="167" xfId="0" applyFont="1" applyNumberFormat="1"/>
    <xf borderId="1" fillId="0" fontId="14" numFmtId="0" xfId="0" applyBorder="1" applyFont="1"/>
    <xf borderId="23" fillId="4" fontId="4" numFmtId="0" xfId="0" applyAlignment="1" applyBorder="1" applyFont="1">
      <alignment horizontal="center" shrinkToFit="0" vertical="bottom" wrapText="0"/>
    </xf>
    <xf borderId="24" fillId="0" fontId="5" numFmtId="0" xfId="0" applyBorder="1" applyFont="1"/>
    <xf borderId="25" fillId="0" fontId="5" numFmtId="0" xfId="0" applyBorder="1" applyFont="1"/>
    <xf borderId="0" fillId="0" fontId="21" numFmtId="0" xfId="0" applyAlignment="1" applyFont="1">
      <alignment shrinkToFit="0" vertical="bottom" wrapText="0"/>
    </xf>
    <xf borderId="1" fillId="0" fontId="4" numFmtId="167" xfId="0" applyAlignment="1" applyBorder="1" applyFont="1" applyNumberFormat="1">
      <alignment horizontal="left" readingOrder="0" shrinkToFit="0" vertical="bottom" wrapText="0"/>
    </xf>
    <xf borderId="1" fillId="0" fontId="4" numFmtId="167" xfId="0" applyAlignment="1" applyBorder="1" applyFont="1" applyNumberFormat="1">
      <alignment horizontal="center" readingOrder="0" shrinkToFit="0" vertical="bottom" wrapText="0"/>
    </xf>
    <xf borderId="1" fillId="0" fontId="4" numFmtId="167" xfId="0" applyAlignment="1" applyBorder="1" applyFont="1" applyNumberFormat="1">
      <alignment readingOrder="0" shrinkToFit="0" vertical="bottom" wrapText="0"/>
    </xf>
    <xf borderId="1" fillId="0" fontId="8" numFmtId="166" xfId="0" applyAlignment="1" applyBorder="1" applyFont="1" applyNumberFormat="1">
      <alignment horizontal="center" shrinkToFit="0" vertical="bottom" wrapText="0"/>
    </xf>
    <xf borderId="6" fillId="0" fontId="4" numFmtId="167" xfId="0" applyAlignment="1" applyBorder="1" applyFont="1" applyNumberFormat="1">
      <alignment readingOrder="0" shrinkToFit="0" vertical="bottom" wrapText="0"/>
    </xf>
    <xf borderId="1" fillId="0" fontId="21" numFmtId="166" xfId="0" applyAlignment="1" applyBorder="1" applyFont="1" applyNumberFormat="1">
      <alignment shrinkToFit="0" vertical="bottom" wrapText="0"/>
    </xf>
    <xf borderId="1" fillId="7" fontId="21" numFmtId="166" xfId="0" applyAlignment="1" applyBorder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26" fillId="4" fontId="4" numFmtId="0" xfId="0" applyAlignment="1" applyBorder="1" applyFont="1">
      <alignment horizontal="center" shrinkToFit="0" vertical="bottom" wrapText="0"/>
    </xf>
    <xf borderId="1" fillId="0" fontId="21" numFmtId="167" xfId="0" applyAlignment="1" applyBorder="1" applyFont="1" applyNumberFormat="1">
      <alignment readingOrder="0" shrinkToFit="0" vertical="bottom" wrapText="0"/>
    </xf>
    <xf borderId="27" fillId="4" fontId="4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vertical="bottom"/>
    </xf>
    <xf borderId="1" fillId="8" fontId="21" numFmtId="0" xfId="0" applyAlignment="1" applyBorder="1" applyFont="1">
      <alignment shrinkToFit="0" vertical="bottom" wrapText="0"/>
    </xf>
    <xf borderId="1" fillId="0" fontId="8" numFmtId="9" xfId="0" applyAlignment="1" applyBorder="1" applyFont="1" applyNumberFormat="1">
      <alignment horizontal="center" readingOrder="0" shrinkToFit="0" vertical="bottom" wrapText="0"/>
    </xf>
    <xf borderId="1" fillId="0" fontId="7" numFmtId="4" xfId="0" applyAlignment="1" applyBorder="1" applyFont="1" applyNumberForma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20" fillId="0" fontId="3" numFmtId="0" xfId="0" applyAlignment="1" applyBorder="1" applyFont="1">
      <alignment shrinkToFit="0" vertical="bottom" wrapText="0"/>
    </xf>
    <xf borderId="0" fillId="0" fontId="21" numFmtId="0" xfId="0" applyAlignment="1" applyFont="1">
      <alignment horizontal="center" shrinkToFit="0" vertical="bottom" wrapText="0"/>
    </xf>
    <xf borderId="22" fillId="0" fontId="12" numFmtId="0" xfId="0" applyAlignment="1" applyBorder="1" applyFont="1">
      <alignment horizontal="center" shrinkToFit="0" vertical="bottom" wrapText="0"/>
    </xf>
    <xf borderId="22" fillId="0" fontId="5" numFmtId="0" xfId="0" applyBorder="1" applyFont="1"/>
    <xf borderId="1" fillId="10" fontId="12" numFmtId="2" xfId="0" applyAlignment="1" applyBorder="1" applyFill="1" applyFont="1" applyNumberFormat="1">
      <alignment horizontal="center" shrinkToFit="0" vertical="bottom" wrapText="1"/>
    </xf>
    <xf borderId="1" fillId="10" fontId="12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horizontal="center" shrinkToFit="0" vertical="bottom" wrapText="0"/>
    </xf>
    <xf borderId="1" fillId="0" fontId="7" numFmtId="9" xfId="0" applyAlignment="1" applyBorder="1" applyFont="1" applyNumberFormat="1">
      <alignment shrinkToFit="0" vertical="bottom" wrapText="0"/>
    </xf>
    <xf borderId="1" fillId="0" fontId="25" numFmtId="175" xfId="0" applyAlignment="1" applyBorder="1" applyFont="1" applyNumberFormat="1">
      <alignment shrinkToFit="0" vertical="bottom" wrapText="0"/>
    </xf>
    <xf borderId="1" fillId="10" fontId="7" numFmtId="0" xfId="0" applyAlignment="1" applyBorder="1" applyFont="1">
      <alignment shrinkToFit="0" vertical="bottom" wrapText="0"/>
    </xf>
    <xf borderId="1" fillId="0" fontId="7" numFmtId="176" xfId="0" applyAlignment="1" applyBorder="1" applyFont="1" applyNumberFormat="1">
      <alignment shrinkToFit="0" vertical="bottom" wrapText="0"/>
    </xf>
    <xf borderId="1" fillId="0" fontId="7" numFmtId="167" xfId="0" applyAlignment="1" applyBorder="1" applyFont="1" applyNumberFormat="1">
      <alignment shrinkToFit="0" vertical="bottom" wrapText="0"/>
    </xf>
    <xf borderId="1" fillId="0" fontId="7" numFmtId="175" xfId="0" applyAlignment="1" applyBorder="1" applyFont="1" applyNumberFormat="1">
      <alignment shrinkToFit="0" vertical="bottom" wrapText="0"/>
    </xf>
    <xf borderId="1" fillId="10" fontId="12" numFmtId="0" xfId="0" applyAlignment="1" applyBorder="1" applyFont="1">
      <alignment shrinkToFit="0" vertical="bottom" wrapText="0"/>
    </xf>
    <xf borderId="1" fillId="10" fontId="12" numFmtId="0" xfId="0" applyAlignment="1" applyBorder="1" applyFont="1">
      <alignment horizontal="right" shrinkToFit="0" vertical="bottom" wrapText="0"/>
    </xf>
    <xf borderId="1" fillId="10" fontId="12" numFmtId="0" xfId="0" applyAlignment="1" applyBorder="1" applyFont="1">
      <alignment horizontal="center" shrinkToFit="0" vertical="bottom" wrapText="0"/>
    </xf>
    <xf borderId="1" fillId="10" fontId="12" numFmtId="175" xfId="0" applyAlignment="1" applyBorder="1" applyFont="1" applyNumberFormat="1">
      <alignment horizontal="center" shrinkToFit="0" vertical="bottom" wrapText="0"/>
    </xf>
    <xf borderId="1" fillId="10" fontId="12" numFmtId="167" xfId="0" applyAlignment="1" applyBorder="1" applyFont="1" applyNumberFormat="1">
      <alignment horizontal="center" shrinkToFit="0" vertical="bottom" wrapText="0"/>
    </xf>
    <xf borderId="0" fillId="0" fontId="7" numFmtId="175" xfId="0" applyAlignment="1" applyFont="1" applyNumberFormat="1">
      <alignment shrinkToFit="0" vertical="bottom" wrapText="0"/>
    </xf>
    <xf borderId="0" fillId="0" fontId="7" numFmtId="167" xfId="0" applyAlignment="1" applyFont="1" applyNumberFormat="1">
      <alignment shrinkToFit="0" vertical="bottom" wrapText="0"/>
    </xf>
    <xf borderId="5" fillId="10" fontId="12" numFmtId="167" xfId="0" applyAlignment="1" applyBorder="1" applyFont="1" applyNumberFormat="1">
      <alignment horizontal="center" shrinkToFit="0" vertical="bottom" wrapText="0"/>
    </xf>
    <xf borderId="0" fillId="0" fontId="12" numFmtId="167" xfId="0" applyAlignment="1" applyFont="1" applyNumberFormat="1">
      <alignment horizontal="center" readingOrder="0" shrinkToFit="0" vertical="bottom" wrapText="0"/>
    </xf>
    <xf borderId="5" fillId="10" fontId="12" numFmtId="177" xfId="0" applyAlignment="1" applyBorder="1" applyFont="1" applyNumberFormat="1">
      <alignment horizontal="center" readingOrder="0" shrinkToFit="0" vertical="bottom" wrapText="0"/>
    </xf>
    <xf borderId="0" fillId="0" fontId="12" numFmtId="0" xfId="0" applyAlignment="1" applyFont="1">
      <alignment horizontal="center" shrinkToFit="0" vertical="bottom" wrapText="0"/>
    </xf>
    <xf borderId="5" fillId="10" fontId="12" numFmtId="0" xfId="0" applyAlignment="1" applyBorder="1" applyFont="1">
      <alignment horizontal="center" shrinkToFit="0" vertical="bottom" wrapText="0"/>
    </xf>
    <xf borderId="28" fillId="8" fontId="21" numFmtId="0" xfId="0" applyAlignment="1" applyBorder="1" applyFont="1">
      <alignment horizontal="center" shrinkToFit="0" vertical="bottom" wrapText="0"/>
    </xf>
    <xf borderId="29" fillId="0" fontId="5" numFmtId="0" xfId="0" applyBorder="1" applyFont="1"/>
    <xf borderId="30" fillId="0" fontId="5" numFmtId="0" xfId="0" applyBorder="1" applyFont="1"/>
    <xf borderId="1" fillId="0" fontId="4" numFmtId="3" xfId="0" applyAlignment="1" applyBorder="1" applyFont="1" applyNumberFormat="1">
      <alignment shrinkToFit="0" vertical="bottom" wrapText="0"/>
    </xf>
    <xf borderId="1" fillId="10" fontId="4" numFmtId="3" xfId="0" applyAlignment="1" applyBorder="1" applyFont="1" applyNumberFormat="1">
      <alignment shrinkToFit="0" vertical="bottom" wrapText="0"/>
    </xf>
    <xf borderId="1" fillId="10" fontId="8" numFmtId="166" xfId="0" applyAlignment="1" applyBorder="1" applyFont="1" applyNumberFormat="1">
      <alignment shrinkToFit="0" vertical="bottom" wrapText="0"/>
    </xf>
    <xf borderId="1" fillId="0" fontId="8" numFmtId="166" xfId="0" applyAlignment="1" applyBorder="1" applyFont="1" applyNumberFormat="1">
      <alignment shrinkToFit="0" vertical="bottom" wrapText="0"/>
    </xf>
    <xf borderId="1" fillId="10" fontId="8" numFmtId="4" xfId="0" applyAlignment="1" applyBorder="1" applyFont="1" applyNumberFormat="1">
      <alignment shrinkToFit="0" vertical="bottom" wrapText="0"/>
    </xf>
    <xf borderId="16" fillId="0" fontId="3" numFmtId="0" xfId="0" applyAlignment="1" applyBorder="1" applyFont="1">
      <alignment shrinkToFit="0" vertical="bottom" wrapText="0"/>
    </xf>
    <xf borderId="1" fillId="10" fontId="3" numFmtId="3" xfId="0" applyAlignment="1" applyBorder="1" applyFont="1" applyNumberFormat="1">
      <alignment shrinkToFit="0" vertical="bottom" wrapText="0"/>
    </xf>
    <xf borderId="1" fillId="10" fontId="8" numFmtId="3" xfId="0" applyAlignment="1" applyBorder="1" applyFont="1" applyNumberFormat="1">
      <alignment shrinkToFit="0" vertical="bottom" wrapText="0"/>
    </xf>
    <xf borderId="1" fillId="7" fontId="8" numFmtId="166" xfId="0" applyAlignment="1" applyBorder="1" applyFont="1" applyNumberFormat="1">
      <alignment shrinkToFit="0" vertical="bottom" wrapText="0"/>
    </xf>
    <xf borderId="1" fillId="10" fontId="21" numFmtId="166" xfId="0" applyAlignment="1" applyBorder="1" applyFont="1" applyNumberFormat="1">
      <alignment shrinkToFit="0" vertical="bottom" wrapText="0"/>
    </xf>
    <xf borderId="1" fillId="0" fontId="3" numFmtId="166" xfId="0" applyAlignment="1" applyBorder="1" applyFont="1" applyNumberFormat="1">
      <alignment shrinkToFit="0" vertical="bottom" wrapText="0"/>
    </xf>
    <xf borderId="1" fillId="0" fontId="3" numFmtId="171" xfId="0" applyAlignment="1" applyBorder="1" applyFont="1" applyNumberFormat="1">
      <alignment shrinkToFit="0" vertical="bottom" wrapText="0"/>
    </xf>
    <xf borderId="11" fillId="0" fontId="3" numFmtId="4" xfId="0" applyAlignment="1" applyBorder="1" applyFont="1" applyNumberFormat="1">
      <alignment horizontal="center" shrinkToFit="0" vertical="bottom" wrapText="0"/>
    </xf>
    <xf borderId="1" fillId="10" fontId="21" numFmtId="4" xfId="0" applyAlignment="1" applyBorder="1" applyFont="1" applyNumberFormat="1">
      <alignment shrinkToFit="0" vertical="bottom" wrapText="0"/>
    </xf>
    <xf borderId="1" fillId="10" fontId="4" numFmtId="3" xfId="0" applyAlignment="1" applyBorder="1" applyFont="1" applyNumberFormat="1">
      <alignment horizontal="center" shrinkToFit="0" vertical="bottom" wrapText="0"/>
    </xf>
    <xf borderId="0" fillId="0" fontId="21" numFmtId="166" xfId="0" applyAlignment="1" applyFont="1" applyNumberFormat="1">
      <alignment shrinkToFit="0" vertical="bottom" wrapText="0"/>
    </xf>
    <xf borderId="0" fillId="0" fontId="26" numFmtId="0" xfId="0" applyAlignment="1" applyFont="1">
      <alignment shrinkToFit="0" vertical="bottom" wrapText="0"/>
    </xf>
    <xf borderId="5" fillId="0" fontId="4" numFmtId="3" xfId="0" applyAlignment="1" applyBorder="1" applyFont="1" applyNumberFormat="1">
      <alignment shrinkToFit="0" vertical="bottom" wrapText="0"/>
    </xf>
    <xf borderId="1" fillId="0" fontId="3" numFmtId="175" xfId="0" applyBorder="1" applyFont="1" applyNumberFormat="1"/>
    <xf borderId="5" fillId="0" fontId="3" numFmtId="3" xfId="0" applyAlignment="1" applyBorder="1" applyFont="1" applyNumberFormat="1">
      <alignment shrinkToFit="0" vertical="bottom" wrapText="0"/>
    </xf>
    <xf borderId="11" fillId="0" fontId="8" numFmtId="166" xfId="0" applyAlignment="1" applyBorder="1" applyFont="1" applyNumberFormat="1">
      <alignment shrinkToFit="0" vertical="bottom" wrapText="0"/>
    </xf>
    <xf borderId="15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shrinkToFit="0" vertical="bottom" wrapText="0"/>
    </xf>
    <xf borderId="10" fillId="4" fontId="4" numFmtId="3" xfId="0" applyAlignment="1" applyBorder="1" applyFont="1" applyNumberFormat="1">
      <alignment shrinkToFit="0" vertical="bottom" wrapText="0"/>
    </xf>
    <xf borderId="8" fillId="4" fontId="4" numFmtId="4" xfId="0" applyAlignment="1" applyBorder="1" applyFont="1" applyNumberFormat="1">
      <alignment shrinkToFit="0" vertical="bottom" wrapText="0"/>
    </xf>
    <xf borderId="5" fillId="0" fontId="27" numFmtId="0" xfId="0" applyAlignment="1" applyBorder="1" applyFont="1">
      <alignment shrinkToFit="0" vertical="bottom" wrapText="0"/>
    </xf>
    <xf borderId="15" fillId="0" fontId="27" numFmtId="165" xfId="0" applyAlignment="1" applyBorder="1" applyFont="1" applyNumberFormat="1">
      <alignment shrinkToFit="0" vertical="bottom" wrapText="0"/>
    </xf>
    <xf borderId="2" fillId="4" fontId="27" numFmtId="4" xfId="0" applyAlignment="1" applyBorder="1" applyFont="1" applyNumberFormat="1">
      <alignment shrinkToFit="0" vertical="bottom" wrapText="0"/>
    </xf>
    <xf borderId="10" fillId="3" fontId="4" numFmtId="3" xfId="0" applyAlignment="1" applyBorder="1" applyFont="1" applyNumberFormat="1">
      <alignment shrinkToFit="0" vertical="bottom" wrapText="0"/>
    </xf>
    <xf borderId="8" fillId="3" fontId="3" numFmtId="165" xfId="0" applyAlignment="1" applyBorder="1" applyFont="1" applyNumberFormat="1">
      <alignment shrinkToFit="0" vertical="bottom" wrapText="0"/>
    </xf>
    <xf borderId="1" fillId="0" fontId="3" numFmtId="165" xfId="0" applyAlignment="1" applyBorder="1" applyFont="1" applyNumberFormat="1">
      <alignment shrinkToFit="0" vertical="bottom" wrapText="0"/>
    </xf>
    <xf borderId="1" fillId="0" fontId="27" numFmtId="165" xfId="0" applyAlignment="1" applyBorder="1" applyFont="1" applyNumberForma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28" numFmtId="0" xfId="0" applyAlignment="1" applyFont="1">
      <alignment shrinkToFit="0" vertical="bottom" wrapText="0"/>
    </xf>
    <xf borderId="28" fillId="3" fontId="4" numFmtId="0" xfId="0" applyAlignment="1" applyBorder="1" applyFont="1">
      <alignment horizontal="center" shrinkToFit="0" vertical="bottom" wrapText="0"/>
    </xf>
    <xf borderId="0" fillId="0" fontId="7" numFmtId="165" xfId="0" applyAlignment="1" applyFont="1" applyNumberFormat="1">
      <alignment horizontal="right" shrinkToFit="0" vertical="bottom" wrapText="0"/>
    </xf>
    <xf borderId="0" fillId="0" fontId="28" numFmtId="165" xfId="0" applyAlignment="1" applyFont="1" applyNumberFormat="1">
      <alignment horizontal="right" shrinkToFit="0" vertical="bottom" wrapText="0"/>
    </xf>
    <xf borderId="0" fillId="0" fontId="7" numFmtId="166" xfId="0" applyAlignment="1" applyFont="1" applyNumberFormat="1">
      <alignment horizontal="right" shrinkToFit="0" vertical="bottom" wrapText="0"/>
    </xf>
    <xf borderId="0" fillId="0" fontId="29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28" numFmtId="0" xfId="0" applyAlignment="1" applyFont="1">
      <alignment horizontal="center" shrinkToFit="0" vertical="bottom" wrapText="0"/>
    </xf>
    <xf borderId="0" fillId="0" fontId="29" numFmtId="165" xfId="0" applyAlignment="1" applyFont="1" applyNumberFormat="1">
      <alignment horizontal="right" shrinkToFit="0" vertical="bottom" wrapText="0"/>
    </xf>
    <xf borderId="0" fillId="0" fontId="30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5" fillId="0" fontId="31" numFmtId="0" xfId="0" applyAlignment="1" applyBorder="1" applyFont="1">
      <alignment horizontal="center" shrinkToFit="0" vertical="bottom" wrapText="0"/>
    </xf>
    <xf borderId="5" fillId="10" fontId="32" numFmtId="0" xfId="0" applyAlignment="1" applyBorder="1" applyFont="1">
      <alignment horizontal="center" shrinkToFit="0" vertical="bottom" wrapText="0"/>
    </xf>
    <xf borderId="5" fillId="0" fontId="32" numFmtId="10" xfId="0" applyAlignment="1" applyBorder="1" applyFont="1" applyNumberFormat="1">
      <alignment horizontal="center" shrinkToFit="0" vertical="bottom" wrapText="0"/>
    </xf>
    <xf borderId="1" fillId="10" fontId="4" numFmtId="9" xfId="0" applyAlignment="1" applyBorder="1" applyFont="1" applyNumberFormat="1">
      <alignment horizontal="center" shrinkToFit="0" vertical="bottom" wrapText="0"/>
    </xf>
    <xf borderId="1" fillId="10" fontId="4" numFmtId="9" xfId="0" applyAlignment="1" applyBorder="1" applyFont="1" applyNumberFormat="1">
      <alignment shrinkToFit="0" vertical="bottom" wrapText="0"/>
    </xf>
    <xf borderId="1" fillId="0" fontId="4" numFmtId="9" xfId="0" applyAlignment="1" applyBorder="1" applyFont="1" applyNumberFormat="1">
      <alignment shrinkToFit="0" vertical="bottom" wrapText="0"/>
    </xf>
    <xf borderId="1" fillId="0" fontId="3" numFmtId="175" xfId="0" applyAlignment="1" applyBorder="1" applyFont="1" applyNumberFormat="1">
      <alignment shrinkToFit="0" vertical="bottom" wrapText="0"/>
    </xf>
    <xf borderId="1" fillId="10" fontId="3" numFmtId="175" xfId="0" applyAlignment="1" applyBorder="1" applyFont="1" applyNumberFormat="1">
      <alignment shrinkToFit="0" vertical="bottom" wrapText="0"/>
    </xf>
    <xf borderId="1" fillId="0" fontId="4" numFmtId="175" xfId="0" applyAlignment="1" applyBorder="1" applyFont="1" applyNumberFormat="1">
      <alignment horizontal="right" shrinkToFit="0" vertical="bottom" wrapText="0"/>
    </xf>
    <xf borderId="1" fillId="10" fontId="4" numFmtId="175" xfId="0" applyAlignment="1" applyBorder="1" applyFont="1" applyNumberFormat="1">
      <alignment horizontal="center" shrinkToFit="0" vertical="bottom" wrapText="0"/>
    </xf>
    <xf borderId="1" fillId="0" fontId="4" numFmtId="175" xfId="0" applyAlignment="1" applyBorder="1" applyFont="1" applyNumberFormat="1">
      <alignment horizontal="center" shrinkToFit="0" vertical="bottom" wrapText="0"/>
    </xf>
    <xf borderId="12" fillId="0" fontId="3" numFmtId="0" xfId="0" applyAlignment="1" applyBorder="1" applyFont="1">
      <alignment shrinkToFit="0" vertical="bottom" wrapText="0"/>
    </xf>
    <xf borderId="17" fillId="0" fontId="3" numFmtId="0" xfId="0" applyAlignment="1" applyBorder="1" applyFont="1">
      <alignment shrinkToFit="0" vertical="bottom" wrapText="0"/>
    </xf>
    <xf borderId="22" fillId="0" fontId="4" numFmtId="166" xfId="0" applyAlignment="1" applyBorder="1" applyFont="1" applyNumberFormat="1">
      <alignment shrinkToFit="0" vertical="bottom" wrapText="0"/>
    </xf>
    <xf borderId="19" fillId="0" fontId="4" numFmtId="166" xfId="0" applyAlignment="1" applyBorder="1" applyFont="1" applyNumberFormat="1">
      <alignment shrinkToFit="0" vertical="bottom" wrapText="0"/>
    </xf>
    <xf borderId="15" fillId="0" fontId="4" numFmtId="178" xfId="0" applyAlignment="1" applyBorder="1" applyFont="1" applyNumberFormat="1">
      <alignment shrinkToFit="0" vertical="bottom" wrapText="0"/>
    </xf>
    <xf borderId="5" fillId="0" fontId="2" numFmtId="0" xfId="0" applyAlignment="1" applyBorder="1" applyFont="1">
      <alignment horizontal="center" shrinkToFit="0" vertical="bottom" wrapText="0"/>
    </xf>
    <xf borderId="28" fillId="11" fontId="33" numFmtId="0" xfId="0" applyAlignment="1" applyBorder="1" applyFill="1" applyFont="1">
      <alignment horizontal="center" shrinkToFit="0" vertical="bottom" wrapText="0"/>
    </xf>
    <xf borderId="0" fillId="0" fontId="34" numFmtId="0" xfId="0" applyFont="1"/>
    <xf borderId="27" fillId="11" fontId="34" numFmtId="0" xfId="0" applyAlignment="1" applyBorder="1" applyFont="1">
      <alignment shrinkToFit="0" vertical="bottom" wrapText="0"/>
    </xf>
    <xf borderId="27" fillId="11" fontId="32" numFmtId="0" xfId="0" applyAlignment="1" applyBorder="1" applyFont="1">
      <alignment horizontal="left" shrinkToFit="0" vertical="bottom" wrapText="0"/>
    </xf>
    <xf borderId="27" fillId="11" fontId="3" numFmtId="0" xfId="0" applyAlignment="1" applyBorder="1" applyFont="1">
      <alignment shrinkToFit="0" vertical="bottom" wrapText="0"/>
    </xf>
    <xf borderId="31" fillId="11" fontId="4" numFmtId="9" xfId="0" applyAlignment="1" applyBorder="1" applyFont="1" applyNumberFormat="1">
      <alignment readingOrder="0" shrinkToFit="0" vertical="bottom" wrapText="0"/>
    </xf>
    <xf borderId="11" fillId="11" fontId="4" numFmtId="0" xfId="0" applyAlignment="1" applyBorder="1" applyFont="1">
      <alignment horizontal="center" shrinkToFit="0" vertical="center" wrapText="0"/>
    </xf>
    <xf borderId="11" fillId="11" fontId="4" numFmtId="0" xfId="0" applyAlignment="1" applyBorder="1" applyFont="1">
      <alignment horizontal="center" shrinkToFit="0" vertical="center" wrapText="1"/>
    </xf>
    <xf borderId="1" fillId="11" fontId="4" numFmtId="0" xfId="0" applyAlignment="1" applyBorder="1" applyFont="1">
      <alignment horizontal="center" shrinkToFit="0" vertical="bottom" wrapText="0"/>
    </xf>
    <xf borderId="13" fillId="0" fontId="5" numFmtId="0" xfId="0" applyBorder="1" applyFont="1"/>
    <xf borderId="1" fillId="0" fontId="15" numFmtId="167" xfId="0" applyBorder="1" applyFont="1" applyNumberFormat="1"/>
    <xf borderId="1" fillId="11" fontId="3" numFmtId="164" xfId="0" applyAlignment="1" applyBorder="1" applyFont="1" applyNumberFormat="1">
      <alignment shrinkToFit="0" vertical="bottom" wrapText="0"/>
    </xf>
    <xf borderId="1" fillId="11" fontId="3" numFmtId="9" xfId="0" applyAlignment="1" applyBorder="1" applyFont="1" applyNumberFormat="1">
      <alignment horizontal="center" shrinkToFit="0" vertical="bottom" wrapText="0"/>
    </xf>
    <xf borderId="1" fillId="11" fontId="3" numFmtId="164" xfId="0" applyAlignment="1" applyBorder="1" applyFont="1" applyNumberFormat="1">
      <alignment horizontal="left" shrinkToFit="0" vertical="bottom" wrapText="0"/>
    </xf>
    <xf borderId="1" fillId="11" fontId="3" numFmtId="167" xfId="0" applyAlignment="1" applyBorder="1" applyFont="1" applyNumberFormat="1">
      <alignment shrinkToFit="0" vertical="bottom" wrapText="0"/>
    </xf>
    <xf borderId="0" fillId="0" fontId="15" numFmtId="167" xfId="0" applyFont="1" applyNumberFormat="1"/>
    <xf borderId="1" fillId="11" fontId="4" numFmtId="164" xfId="0" applyAlignment="1" applyBorder="1" applyFont="1" applyNumberFormat="1">
      <alignment horizontal="center" shrinkToFit="0" vertical="bottom" wrapText="0"/>
    </xf>
    <xf borderId="27" fillId="11" fontId="3" numFmtId="0" xfId="0" applyAlignment="1" applyBorder="1" applyFont="1">
      <alignment horizontal="center" shrinkToFit="0" vertical="bottom" wrapText="0"/>
    </xf>
    <xf borderId="27" fillId="11" fontId="4" numFmtId="0" xfId="0" applyAlignment="1" applyBorder="1" applyFont="1">
      <alignment shrinkToFit="0" vertical="bottom" wrapText="0"/>
    </xf>
    <xf borderId="32" fillId="11" fontId="3" numFmtId="164" xfId="0" applyAlignment="1" applyBorder="1" applyFont="1" applyNumberFormat="1">
      <alignment horizontal="center" shrinkToFit="0" vertical="bottom" wrapText="0"/>
    </xf>
    <xf borderId="27" fillId="11" fontId="3" numFmtId="164" xfId="0" applyAlignment="1" applyBorder="1" applyFont="1" applyNumberFormat="1">
      <alignment shrinkToFit="0" vertical="bottom" wrapText="0"/>
    </xf>
    <xf borderId="33" fillId="11" fontId="3" numFmtId="9" xfId="0" applyAlignment="1" applyBorder="1" applyFont="1" applyNumberFormat="1">
      <alignment horizontal="center" shrinkToFit="0" vertical="bottom" wrapText="0"/>
    </xf>
    <xf borderId="33" fillId="11" fontId="3" numFmtId="2" xfId="0" applyAlignment="1" applyBorder="1" applyFont="1" applyNumberFormat="1">
      <alignment horizontal="center" shrinkToFit="0" vertical="bottom" wrapText="0"/>
    </xf>
    <xf borderId="1" fillId="0" fontId="35" numFmtId="0" xfId="0" applyAlignment="1" applyBorder="1" applyFont="1">
      <alignment horizontal="left" shrinkToFit="0" vertical="bottom" wrapText="0"/>
    </xf>
    <xf borderId="0" fillId="0" fontId="24" numFmtId="0" xfId="0" applyAlignment="1" applyFont="1">
      <alignment horizontal="center" shrinkToFit="0" vertical="bottom" wrapText="0"/>
    </xf>
    <xf borderId="1" fillId="0" fontId="35" numFmtId="0" xfId="0" applyAlignment="1" applyBorder="1" applyFont="1">
      <alignment horizontal="center" shrinkToFit="0" vertical="bottom" wrapText="0"/>
    </xf>
    <xf borderId="1" fillId="0" fontId="24" numFmtId="0" xfId="0" applyAlignment="1" applyBorder="1" applyFont="1">
      <alignment horizontal="left" shrinkToFit="0" vertical="bottom" wrapText="0"/>
    </xf>
    <xf borderId="1" fillId="0" fontId="24" numFmtId="0" xfId="0" applyAlignment="1" applyBorder="1" applyFont="1">
      <alignment horizontal="center" shrinkToFit="0" vertical="bottom" wrapText="0"/>
    </xf>
    <xf borderId="1" fillId="0" fontId="24" numFmtId="4" xfId="0" applyAlignment="1" applyBorder="1" applyFont="1" applyNumberFormat="1">
      <alignment horizontal="center" shrinkToFit="0" vertical="bottom" wrapText="0"/>
    </xf>
    <xf borderId="1" fillId="0" fontId="35" numFmtId="167" xfId="0" applyAlignment="1" applyBorder="1" applyFont="1" applyNumberFormat="1">
      <alignment horizontal="center" shrinkToFit="0" vertical="bottom" wrapText="0"/>
    </xf>
    <xf borderId="1" fillId="0" fontId="35" numFmtId="4" xfId="0" applyAlignment="1" applyBorder="1" applyFont="1" applyNumberFormat="1">
      <alignment horizontal="center" shrinkToFit="0" vertical="bottom" wrapText="0"/>
    </xf>
    <xf borderId="16" fillId="0" fontId="36" numFmtId="0" xfId="0" applyAlignment="1" applyBorder="1" applyFont="1">
      <alignment shrinkToFit="0" vertical="bottom" wrapText="0"/>
    </xf>
    <xf borderId="1" fillId="0" fontId="36" numFmtId="4" xfId="0" applyAlignment="1" applyBorder="1" applyFont="1" applyNumberFormat="1">
      <alignment shrinkToFit="0" vertical="bottom" wrapText="0"/>
    </xf>
    <xf borderId="1" fillId="0" fontId="36" numFmtId="166" xfId="0" applyAlignment="1" applyBorder="1" applyFont="1" applyNumberFormat="1">
      <alignment horizontal="center" shrinkToFit="0" vertical="bottom" wrapText="0"/>
    </xf>
    <xf borderId="1" fillId="0" fontId="24" numFmtId="165" xfId="0" applyAlignment="1" applyBorder="1" applyFont="1" applyNumberFormat="1">
      <alignment horizontal="center" shrinkToFit="0" vertical="bottom" wrapText="0"/>
    </xf>
    <xf borderId="5" fillId="0" fontId="36" numFmtId="0" xfId="0" applyAlignment="1" applyBorder="1" applyFont="1">
      <alignment shrinkToFit="0" vertical="bottom" wrapText="0"/>
    </xf>
    <xf borderId="1" fillId="0" fontId="35" numFmtId="166" xfId="0" applyAlignment="1" applyBorder="1" applyFont="1" applyNumberFormat="1">
      <alignment horizontal="center" shrinkToFit="0" vertical="bottom" wrapText="0"/>
    </xf>
    <xf borderId="1" fillId="0" fontId="24" numFmtId="167" xfId="0" applyAlignment="1" applyBorder="1" applyFont="1" applyNumberFormat="1">
      <alignment horizontal="center" shrinkToFit="0" vertical="bottom" wrapText="0"/>
    </xf>
    <xf borderId="1" fillId="0" fontId="35" numFmtId="0" xfId="0" applyAlignment="1" applyBorder="1" applyFont="1">
      <alignment shrinkToFit="0" vertical="bottom" wrapText="0"/>
    </xf>
    <xf borderId="1" fillId="0" fontId="36" numFmtId="167" xfId="0" applyAlignment="1" applyBorder="1" applyFont="1" applyNumberFormat="1">
      <alignment horizontal="center" shrinkToFit="0" vertical="bottom" wrapText="0"/>
    </xf>
    <xf borderId="1" fillId="0" fontId="14" numFmtId="0" xfId="0" applyAlignment="1" applyBorder="1" applyFont="1">
      <alignment readingOrder="0"/>
    </xf>
    <xf borderId="1" fillId="0" fontId="14" numFmtId="167" xfId="0" applyAlignment="1" applyBorder="1" applyFont="1" applyNumberFormat="1">
      <alignment readingOrder="0"/>
    </xf>
    <xf borderId="1" fillId="0" fontId="14" numFmtId="10" xfId="0" applyAlignment="1" applyBorder="1" applyFont="1" applyNumberFormat="1">
      <alignment readingOrder="0"/>
    </xf>
    <xf borderId="5" fillId="10" fontId="4" numFmtId="0" xfId="0" applyAlignment="1" applyBorder="1" applyFont="1">
      <alignment horizontal="center" shrinkToFit="0" vertical="bottom" wrapText="0"/>
    </xf>
    <xf borderId="34" fillId="0" fontId="5" numFmtId="0" xfId="0" applyBorder="1" applyFont="1"/>
    <xf borderId="5" fillId="0" fontId="3" numFmtId="0" xfId="0" applyAlignment="1" applyBorder="1" applyFont="1">
      <alignment horizontal="center" shrinkToFit="0" vertical="bottom" wrapText="0"/>
    </xf>
    <xf borderId="1" fillId="7" fontId="3" numFmtId="0" xfId="0" applyAlignment="1" applyBorder="1" applyFont="1">
      <alignment shrinkToFit="0" vertical="bottom" wrapText="0"/>
    </xf>
    <xf borderId="1" fillId="0" fontId="37" numFmtId="0" xfId="0" applyAlignment="1" applyBorder="1" applyFont="1">
      <alignment shrinkToFit="0" vertical="bottom" wrapText="0"/>
    </xf>
    <xf borderId="1" fillId="0" fontId="38" numFmtId="0" xfId="0" applyAlignment="1" applyBorder="1" applyFont="1">
      <alignment shrinkToFit="0" vertical="bottom" wrapText="0"/>
    </xf>
    <xf borderId="1" fillId="0" fontId="39" numFmtId="0" xfId="0" applyAlignment="1" applyBorder="1" applyFont="1">
      <alignment shrinkToFit="0" vertical="bottom" wrapText="0"/>
    </xf>
    <xf borderId="1" fillId="7" fontId="39" numFmtId="0" xfId="0" applyAlignment="1" applyBorder="1" applyFont="1">
      <alignment shrinkToFit="0" vertical="bottom" wrapText="0"/>
    </xf>
    <xf borderId="0" fillId="0" fontId="40" numFmtId="0" xfId="0" applyAlignment="1" applyFont="1">
      <alignment shrinkToFit="0" vertical="bottom" wrapText="0"/>
    </xf>
    <xf borderId="0" fillId="0" fontId="41" numFmtId="0" xfId="0" applyAlignment="1" applyFont="1">
      <alignment shrinkToFit="0" vertical="bottom" wrapText="0"/>
    </xf>
    <xf borderId="35" fillId="10" fontId="4" numFmtId="0" xfId="0" applyAlignment="1" applyBorder="1" applyFont="1">
      <alignment horizontal="center" shrinkToFit="0" vertical="bottom" wrapText="0"/>
    </xf>
    <xf borderId="1" fillId="7" fontId="4" numFmtId="0" xfId="0" applyAlignment="1" applyBorder="1" applyFont="1">
      <alignment horizontal="center" shrinkToFit="0" vertical="bottom" wrapText="0"/>
    </xf>
    <xf borderId="10" fillId="7" fontId="4" numFmtId="0" xfId="0" applyAlignment="1" applyBorder="1" applyFont="1">
      <alignment horizontal="center" shrinkToFit="0" vertical="bottom" wrapText="0"/>
    </xf>
    <xf borderId="22" fillId="0" fontId="3" numFmtId="0" xfId="0" applyAlignment="1" applyBorder="1" applyFont="1">
      <alignment shrinkToFit="0" vertical="bottom" wrapText="0"/>
    </xf>
    <xf borderId="10" fillId="7" fontId="3" numFmtId="0" xfId="0" applyAlignment="1" applyBorder="1" applyFont="1">
      <alignment shrinkToFit="0" vertical="bottom" wrapText="0"/>
    </xf>
    <xf borderId="15" fillId="0" fontId="4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externalLink" Target="externalLinks/externalLink1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OBRAS PUBLICAS 2002/EXPEDIENTES-RAMO 33/ASIGNADAS/ATACPAN INDEPENDENCIA CONST. DE SIST. DE AGUA POT.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UNIVERSO"/>
      <sheetName val="Hoja2"/>
      <sheetName val="1 de 8"/>
      <sheetName val="caja rompedora "/>
      <sheetName val="GEN CAJA ROMPE"/>
      <sheetName val="PRES 1"/>
      <sheetName val="no"/>
      <sheetName val="SUB EST. ELECTRICA"/>
      <sheetName val="COT 1"/>
      <sheetName val="COT 2"/>
      <sheetName val="COT 3"/>
      <sheetName val="3 de 8"/>
      <sheetName val="4 de 8"/>
      <sheetName val="5 de 8"/>
      <sheetName val="6 de 8"/>
      <sheetName val="7 de 8 (2)"/>
      <sheetName val="7 de 8"/>
      <sheetName val="TARGETAS"/>
      <sheetName val="PRES 1 (2)"/>
      <sheetName val="PRES1"/>
    </sheetNames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45.25"/>
    <col customWidth="1" min="4" max="4" width="6.75"/>
    <col customWidth="1" min="5" max="5" width="75.63"/>
    <col customWidth="1" min="6" max="26" width="8.0"/>
  </cols>
  <sheetData>
    <row r="1" ht="20.25" customHeight="1">
      <c r="C1" s="1" t="s">
        <v>0</v>
      </c>
    </row>
    <row r="2" ht="12.75" customHeight="1"/>
    <row r="3" ht="18.0" customHeight="1">
      <c r="C3" s="2" t="s">
        <v>1</v>
      </c>
    </row>
    <row r="4" ht="12.75" customHeight="1"/>
    <row r="5" ht="15.75" customHeight="1">
      <c r="C5" s="3" t="s">
        <v>2</v>
      </c>
      <c r="D5" s="4">
        <v>0.09</v>
      </c>
      <c r="E5" s="3" t="s">
        <v>3</v>
      </c>
      <c r="F5" s="5"/>
      <c r="G5" s="5"/>
      <c r="H5" s="5"/>
      <c r="I5" s="5"/>
      <c r="J5" s="5"/>
      <c r="K5" s="5"/>
      <c r="L5" s="5"/>
      <c r="M5" s="5"/>
    </row>
    <row r="6" ht="15.75" customHeight="1">
      <c r="C6" s="3" t="s">
        <v>4</v>
      </c>
      <c r="D6" s="4">
        <v>0.12</v>
      </c>
      <c r="E6" s="3" t="s">
        <v>3</v>
      </c>
      <c r="F6" s="5"/>
      <c r="G6" s="5"/>
      <c r="H6" s="5"/>
      <c r="I6" s="5"/>
      <c r="J6" s="5"/>
      <c r="K6" s="5"/>
      <c r="L6" s="5"/>
      <c r="M6" s="5"/>
    </row>
    <row r="7" ht="15.75" customHeight="1">
      <c r="C7" s="3" t="s">
        <v>5</v>
      </c>
      <c r="D7" s="4">
        <v>0.03</v>
      </c>
      <c r="E7" s="3" t="s">
        <v>6</v>
      </c>
      <c r="F7" s="5"/>
      <c r="G7" s="5"/>
      <c r="H7" s="5"/>
      <c r="I7" s="5"/>
      <c r="J7" s="5"/>
      <c r="K7" s="5"/>
      <c r="L7" s="5"/>
      <c r="M7" s="5"/>
    </row>
    <row r="8" ht="15.75" customHeight="1">
      <c r="C8" s="3" t="s">
        <v>7</v>
      </c>
      <c r="D8" s="4">
        <v>0.09</v>
      </c>
      <c r="E8" s="3" t="s">
        <v>8</v>
      </c>
      <c r="F8" s="5"/>
      <c r="G8" s="5"/>
      <c r="H8" s="5"/>
      <c r="I8" s="5"/>
      <c r="J8" s="5"/>
      <c r="K8" s="5"/>
      <c r="L8" s="5"/>
      <c r="M8" s="5"/>
    </row>
    <row r="9" ht="15.0" customHeight="1">
      <c r="C9" s="3"/>
      <c r="D9" s="3"/>
      <c r="E9" s="3"/>
      <c r="F9" s="5"/>
      <c r="G9" s="5"/>
      <c r="H9" s="5"/>
      <c r="I9" s="5"/>
      <c r="J9" s="5"/>
      <c r="K9" s="5"/>
      <c r="L9" s="5"/>
      <c r="M9" s="5"/>
    </row>
    <row r="10" ht="15.0" customHeight="1">
      <c r="C10" s="3" t="s">
        <v>9</v>
      </c>
      <c r="D10" s="3"/>
      <c r="E10" s="3" t="s">
        <v>10</v>
      </c>
      <c r="F10" s="5"/>
      <c r="G10" s="5"/>
      <c r="H10" s="5"/>
      <c r="I10" s="5"/>
      <c r="J10" s="5"/>
      <c r="K10" s="5"/>
      <c r="L10" s="5"/>
      <c r="M10" s="5"/>
    </row>
    <row r="11" ht="15.0" customHeight="1">
      <c r="C11" s="3"/>
      <c r="D11" s="3"/>
      <c r="E11" s="3"/>
    </row>
    <row r="12" ht="15.0" customHeight="1">
      <c r="C12" s="3" t="s">
        <v>11</v>
      </c>
      <c r="D12" s="3"/>
      <c r="E12" s="3"/>
    </row>
    <row r="13" ht="15.0" customHeight="1">
      <c r="C13" s="3" t="s">
        <v>12</v>
      </c>
      <c r="D13" s="3"/>
      <c r="E13" s="3"/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9966"/>
    <pageSetUpPr/>
  </sheetPr>
  <sheetViews>
    <sheetView workbookViewId="0"/>
  </sheetViews>
  <sheetFormatPr customHeight="1" defaultColWidth="12.63" defaultRowHeight="15.0"/>
  <cols>
    <col customWidth="1" min="1" max="1" width="99.63"/>
    <col customWidth="1" min="2" max="2" width="16.25"/>
    <col customWidth="1" min="3" max="3" width="14.0"/>
    <col customWidth="1" min="4" max="4" width="16.13"/>
    <col customWidth="1" min="5" max="7" width="18.13"/>
    <col customWidth="1" min="8" max="10" width="14.38"/>
    <col customWidth="1" min="11" max="26" width="8.0"/>
  </cols>
  <sheetData>
    <row r="1" ht="20.25" customHeight="1">
      <c r="A1" s="1" t="s">
        <v>0</v>
      </c>
    </row>
    <row r="2" ht="12.75" customHeight="1"/>
    <row r="3" ht="18.0" customHeight="1">
      <c r="A3" s="2" t="s">
        <v>13</v>
      </c>
    </row>
    <row r="4" ht="18.0" customHeight="1">
      <c r="A4" s="2"/>
    </row>
    <row r="5" ht="15.75" customHeight="1">
      <c r="A5" s="6" t="s">
        <v>14</v>
      </c>
      <c r="B5" s="7"/>
      <c r="C5" s="7"/>
      <c r="D5" s="7"/>
      <c r="E5" s="7"/>
      <c r="F5" s="7"/>
      <c r="G5" s="7"/>
    </row>
    <row r="6" ht="15.75" customHeight="1">
      <c r="A6" s="6" t="s">
        <v>15</v>
      </c>
      <c r="B6" s="7"/>
      <c r="C6" s="7"/>
      <c r="D6" s="7"/>
      <c r="E6" s="7"/>
      <c r="F6" s="7"/>
      <c r="G6" s="7"/>
    </row>
    <row r="7" ht="15.75" customHeight="1">
      <c r="A7" s="6" t="s">
        <v>16</v>
      </c>
      <c r="B7" s="7"/>
      <c r="C7" s="8"/>
      <c r="D7" s="8"/>
      <c r="E7" s="8"/>
      <c r="F7" s="9"/>
      <c r="G7" s="10"/>
    </row>
    <row r="8" ht="15.0" customHeight="1">
      <c r="A8" s="5"/>
      <c r="B8" s="5"/>
      <c r="C8" s="5"/>
      <c r="D8" s="5"/>
      <c r="E8" s="5"/>
      <c r="F8" s="5"/>
      <c r="G8" s="5"/>
    </row>
    <row r="9" ht="15.75" customHeight="1">
      <c r="A9" s="8" t="s">
        <v>17</v>
      </c>
    </row>
    <row r="10" ht="15.75" customHeight="1">
      <c r="A10" s="11" t="s">
        <v>18</v>
      </c>
      <c r="B10" s="12" t="s">
        <v>19</v>
      </c>
      <c r="C10" s="13" t="s">
        <v>20</v>
      </c>
      <c r="D10" s="13" t="s">
        <v>21</v>
      </c>
      <c r="E10" s="14" t="s">
        <v>22</v>
      </c>
      <c r="F10" s="15" t="s">
        <v>23</v>
      </c>
      <c r="G10" s="16"/>
    </row>
    <row r="11" ht="15.75" customHeight="1">
      <c r="A11" s="17"/>
      <c r="B11" s="18" t="s">
        <v>24</v>
      </c>
      <c r="C11" s="19"/>
      <c r="D11" s="19" t="s">
        <v>25</v>
      </c>
      <c r="E11" s="20" t="s">
        <v>26</v>
      </c>
      <c r="F11" s="21" t="s">
        <v>27</v>
      </c>
      <c r="G11" s="21" t="s">
        <v>28</v>
      </c>
    </row>
    <row r="12" ht="15.75" customHeight="1">
      <c r="A12" s="22" t="s">
        <v>29</v>
      </c>
      <c r="B12" s="3"/>
      <c r="C12" s="3"/>
      <c r="D12" s="3"/>
      <c r="E12" s="3"/>
      <c r="F12" s="3"/>
      <c r="G12" s="3"/>
    </row>
    <row r="13" ht="15.0" customHeight="1">
      <c r="A13" s="23" t="s">
        <v>30</v>
      </c>
      <c r="B13" s="24" t="s">
        <v>31</v>
      </c>
      <c r="C13" s="25">
        <v>50.0</v>
      </c>
      <c r="D13" s="26">
        <v>3400.0</v>
      </c>
      <c r="E13" s="27">
        <f t="shared" ref="E13:E17" si="1">C13*D13</f>
        <v>170000</v>
      </c>
      <c r="F13" s="28">
        <v>170000.0</v>
      </c>
      <c r="G13" s="27"/>
    </row>
    <row r="14" ht="15.0" customHeight="1">
      <c r="A14" s="23" t="s">
        <v>32</v>
      </c>
      <c r="B14" s="24" t="s">
        <v>31</v>
      </c>
      <c r="C14" s="25">
        <v>250.0</v>
      </c>
      <c r="D14" s="26">
        <v>140.0</v>
      </c>
      <c r="E14" s="27">
        <f t="shared" si="1"/>
        <v>35000</v>
      </c>
      <c r="F14" s="27">
        <v>35000.0</v>
      </c>
      <c r="G14" s="28"/>
    </row>
    <row r="15" ht="15.0" customHeight="1">
      <c r="A15" s="23" t="s">
        <v>33</v>
      </c>
      <c r="B15" s="24" t="s">
        <v>34</v>
      </c>
      <c r="C15" s="29">
        <v>1.0</v>
      </c>
      <c r="D15" s="26">
        <v>10000.0</v>
      </c>
      <c r="E15" s="27">
        <f t="shared" si="1"/>
        <v>10000</v>
      </c>
      <c r="F15" s="27">
        <v>10000.0</v>
      </c>
      <c r="G15" s="28"/>
    </row>
    <row r="16" ht="15.0" customHeight="1">
      <c r="A16" s="23" t="s">
        <v>35</v>
      </c>
      <c r="B16" s="24" t="s">
        <v>31</v>
      </c>
      <c r="C16" s="25">
        <v>15.0</v>
      </c>
      <c r="D16" s="26">
        <v>33.3333333333333</v>
      </c>
      <c r="E16" s="27">
        <f t="shared" si="1"/>
        <v>500</v>
      </c>
      <c r="F16" s="27"/>
      <c r="G16" s="30">
        <v>500.0</v>
      </c>
    </row>
    <row r="17" ht="15.0" customHeight="1">
      <c r="A17" s="23" t="s">
        <v>36</v>
      </c>
      <c r="B17" s="24" t="s">
        <v>31</v>
      </c>
      <c r="C17" s="25">
        <v>6.0</v>
      </c>
      <c r="D17" s="26">
        <v>200.0</v>
      </c>
      <c r="E17" s="27">
        <f t="shared" si="1"/>
        <v>1200</v>
      </c>
      <c r="F17" s="27"/>
      <c r="G17" s="30">
        <v>1200.0</v>
      </c>
    </row>
    <row r="18" ht="15.0" customHeight="1">
      <c r="A18" s="31"/>
      <c r="B18" s="32"/>
      <c r="C18" s="32"/>
      <c r="D18" s="27"/>
      <c r="E18" s="27"/>
      <c r="F18" s="27"/>
      <c r="G18" s="33"/>
    </row>
    <row r="19" ht="15.0" customHeight="1">
      <c r="A19" s="22" t="s">
        <v>37</v>
      </c>
      <c r="B19" s="32"/>
      <c r="C19" s="32"/>
      <c r="D19" s="27"/>
      <c r="E19" s="27"/>
      <c r="F19" s="27"/>
      <c r="G19" s="33"/>
    </row>
    <row r="20" ht="15.0" customHeight="1">
      <c r="A20" s="34" t="s">
        <v>38</v>
      </c>
      <c r="B20" s="24" t="s">
        <v>34</v>
      </c>
      <c r="C20" s="25">
        <v>1.0</v>
      </c>
      <c r="D20" s="26">
        <v>5000.0</v>
      </c>
      <c r="E20" s="27">
        <f t="shared" ref="E20:E32" si="2">C20*D20</f>
        <v>5000</v>
      </c>
      <c r="F20" s="27">
        <v>5000.0</v>
      </c>
      <c r="G20" s="33"/>
    </row>
    <row r="21" ht="15.0" customHeight="1">
      <c r="A21" s="34" t="s">
        <v>39</v>
      </c>
      <c r="B21" s="24" t="s">
        <v>40</v>
      </c>
      <c r="C21" s="25">
        <v>1.0</v>
      </c>
      <c r="D21" s="26">
        <v>8000.0</v>
      </c>
      <c r="E21" s="27">
        <f t="shared" si="2"/>
        <v>8000</v>
      </c>
      <c r="F21" s="27">
        <v>8000.0</v>
      </c>
      <c r="G21" s="33"/>
    </row>
    <row r="22" ht="15.0" customHeight="1">
      <c r="A22" s="34" t="s">
        <v>41</v>
      </c>
      <c r="B22" s="24" t="s">
        <v>31</v>
      </c>
      <c r="C22" s="25">
        <v>1.0</v>
      </c>
      <c r="D22" s="26">
        <v>1500.0</v>
      </c>
      <c r="E22" s="27">
        <f t="shared" si="2"/>
        <v>1500</v>
      </c>
      <c r="F22" s="27">
        <v>1500.0</v>
      </c>
      <c r="G22" s="28"/>
    </row>
    <row r="23" ht="15.0" customHeight="1">
      <c r="A23" s="34" t="s">
        <v>42</v>
      </c>
      <c r="B23" s="24" t="s">
        <v>31</v>
      </c>
      <c r="C23" s="25">
        <v>2.0</v>
      </c>
      <c r="D23" s="26">
        <v>1000.0</v>
      </c>
      <c r="E23" s="27">
        <f t="shared" si="2"/>
        <v>2000</v>
      </c>
      <c r="F23" s="27">
        <v>2000.0</v>
      </c>
      <c r="G23" s="28"/>
    </row>
    <row r="24" ht="15.0" customHeight="1">
      <c r="A24" s="35" t="s">
        <v>43</v>
      </c>
      <c r="B24" s="24" t="s">
        <v>31</v>
      </c>
      <c r="C24" s="25">
        <v>100.0</v>
      </c>
      <c r="D24" s="26">
        <v>15.0</v>
      </c>
      <c r="E24" s="27">
        <f t="shared" si="2"/>
        <v>1500</v>
      </c>
      <c r="F24" s="27">
        <v>1500.0</v>
      </c>
      <c r="G24" s="28"/>
    </row>
    <row r="25" ht="15.0" customHeight="1">
      <c r="A25" s="34" t="s">
        <v>44</v>
      </c>
      <c r="B25" s="24" t="s">
        <v>31</v>
      </c>
      <c r="C25" s="25">
        <v>4.0</v>
      </c>
      <c r="D25" s="26">
        <v>5000.0</v>
      </c>
      <c r="E25" s="27">
        <f t="shared" si="2"/>
        <v>20000</v>
      </c>
      <c r="F25" s="27">
        <v>20000.0</v>
      </c>
      <c r="G25" s="28"/>
    </row>
    <row r="26" ht="15.0" customHeight="1">
      <c r="A26" s="34" t="s">
        <v>45</v>
      </c>
      <c r="B26" s="24" t="s">
        <v>31</v>
      </c>
      <c r="C26" s="25">
        <v>1.0</v>
      </c>
      <c r="D26" s="26">
        <v>12000.0</v>
      </c>
      <c r="E26" s="27">
        <f t="shared" si="2"/>
        <v>12000</v>
      </c>
      <c r="F26" s="27">
        <v>12000.0</v>
      </c>
      <c r="G26" s="28"/>
    </row>
    <row r="27" ht="15.75" customHeight="1">
      <c r="A27" s="36" t="s">
        <v>46</v>
      </c>
      <c r="B27" s="24" t="s">
        <v>31</v>
      </c>
      <c r="C27" s="25">
        <v>1.0</v>
      </c>
      <c r="D27" s="26">
        <v>5000.0</v>
      </c>
      <c r="E27" s="27">
        <f t="shared" si="2"/>
        <v>5000</v>
      </c>
      <c r="F27" s="27">
        <v>5000.0</v>
      </c>
      <c r="G27" s="28"/>
    </row>
    <row r="28" ht="15.0" customHeight="1">
      <c r="A28" s="35" t="s">
        <v>47</v>
      </c>
      <c r="B28" s="24" t="s">
        <v>40</v>
      </c>
      <c r="C28" s="25">
        <v>2.0</v>
      </c>
      <c r="D28" s="26">
        <v>6000.0</v>
      </c>
      <c r="E28" s="27">
        <f t="shared" si="2"/>
        <v>12000</v>
      </c>
      <c r="F28" s="27"/>
      <c r="G28" s="30">
        <v>12000.0</v>
      </c>
    </row>
    <row r="29" ht="15.0" customHeight="1">
      <c r="A29" s="34" t="s">
        <v>48</v>
      </c>
      <c r="B29" s="24" t="s">
        <v>40</v>
      </c>
      <c r="C29" s="25">
        <v>1.0</v>
      </c>
      <c r="D29" s="37">
        <v>2000.0</v>
      </c>
      <c r="E29" s="27">
        <f t="shared" si="2"/>
        <v>2000</v>
      </c>
      <c r="F29" s="38">
        <v>2000.0</v>
      </c>
      <c r="G29" s="28"/>
    </row>
    <row r="30" ht="15.0" customHeight="1">
      <c r="A30" s="34" t="s">
        <v>49</v>
      </c>
      <c r="B30" s="24" t="s">
        <v>40</v>
      </c>
      <c r="C30" s="25">
        <v>1.0</v>
      </c>
      <c r="D30" s="37">
        <v>1000.0</v>
      </c>
      <c r="E30" s="27">
        <f t="shared" si="2"/>
        <v>1000</v>
      </c>
      <c r="F30" s="27"/>
      <c r="G30" s="30">
        <v>1000.0</v>
      </c>
    </row>
    <row r="31" ht="15.0" customHeight="1">
      <c r="A31" s="34" t="s">
        <v>50</v>
      </c>
      <c r="B31" s="24" t="s">
        <v>31</v>
      </c>
      <c r="C31" s="25">
        <v>4.0</v>
      </c>
      <c r="D31" s="26">
        <v>1500.0</v>
      </c>
      <c r="E31" s="27">
        <f t="shared" si="2"/>
        <v>6000</v>
      </c>
      <c r="F31" s="38">
        <v>6000.0</v>
      </c>
      <c r="G31" s="28"/>
    </row>
    <row r="32" ht="15.0" customHeight="1">
      <c r="A32" s="39" t="s">
        <v>51</v>
      </c>
      <c r="B32" s="24" t="s">
        <v>31</v>
      </c>
      <c r="C32" s="40">
        <v>1.0</v>
      </c>
      <c r="D32" s="38">
        <v>1000.0</v>
      </c>
      <c r="E32" s="27">
        <f t="shared" si="2"/>
        <v>1000</v>
      </c>
      <c r="F32" s="27"/>
      <c r="G32" s="30">
        <v>1000.0</v>
      </c>
    </row>
    <row r="33" ht="15.0" customHeight="1">
      <c r="A33" s="31"/>
      <c r="B33" s="32"/>
      <c r="C33" s="32"/>
      <c r="D33" s="27"/>
      <c r="E33" s="27"/>
      <c r="F33" s="27"/>
      <c r="G33" s="28"/>
    </row>
    <row r="34" ht="15.0" customHeight="1">
      <c r="A34" s="31"/>
      <c r="B34" s="32"/>
      <c r="C34" s="32"/>
      <c r="D34" s="27"/>
      <c r="E34" s="27"/>
      <c r="F34" s="27"/>
      <c r="G34" s="28"/>
    </row>
    <row r="35" ht="15.75" customHeight="1">
      <c r="A35" s="41" t="s">
        <v>52</v>
      </c>
      <c r="B35" s="32"/>
      <c r="C35" s="32"/>
      <c r="D35" s="32"/>
      <c r="E35" s="42">
        <f>SUM(E13:E34)</f>
        <v>293700</v>
      </c>
      <c r="F35" s="42">
        <f>SUM(F13:F22)</f>
        <v>229500</v>
      </c>
      <c r="G35" s="42">
        <f>SUM(G13:G34)</f>
        <v>15700</v>
      </c>
      <c r="H35" s="43"/>
      <c r="I35" s="43"/>
    </row>
    <row r="36" ht="15.75" customHeight="1">
      <c r="A36" s="44" t="s">
        <v>53</v>
      </c>
      <c r="B36" s="16"/>
      <c r="C36" s="3"/>
      <c r="D36" s="45"/>
      <c r="E36" s="46"/>
      <c r="F36" s="3"/>
      <c r="G36" s="3"/>
    </row>
    <row r="37" ht="12.75" customHeight="1">
      <c r="A37" s="47" t="s">
        <v>54</v>
      </c>
      <c r="B37" s="48" t="s">
        <v>34</v>
      </c>
      <c r="C37" s="24">
        <v>2.0</v>
      </c>
      <c r="D37" s="30">
        <v>1000.0</v>
      </c>
      <c r="E37" s="28">
        <f>C37*D37</f>
        <v>2000</v>
      </c>
      <c r="F37" s="38">
        <v>2000.0</v>
      </c>
      <c r="G37" s="49"/>
      <c r="I37" s="50"/>
    </row>
    <row r="38" ht="12.75" customHeight="1">
      <c r="A38" s="51"/>
      <c r="B38" s="52"/>
      <c r="C38" s="32"/>
      <c r="D38" s="28"/>
      <c r="E38" s="28"/>
      <c r="F38" s="27"/>
      <c r="G38" s="27"/>
      <c r="I38" s="50"/>
    </row>
    <row r="39" ht="15.0" customHeight="1">
      <c r="A39" s="53"/>
      <c r="B39" s="54"/>
      <c r="C39" s="32"/>
      <c r="D39" s="28"/>
      <c r="E39" s="28"/>
      <c r="F39" s="27"/>
      <c r="G39" s="27"/>
      <c r="I39" s="50"/>
      <c r="J39" s="50"/>
    </row>
    <row r="40" ht="12.75" customHeight="1">
      <c r="A40" s="55"/>
      <c r="B40" s="52"/>
      <c r="C40" s="56"/>
      <c r="D40" s="57"/>
      <c r="E40" s="57"/>
      <c r="F40" s="57"/>
      <c r="G40" s="58"/>
    </row>
    <row r="41" ht="12.75" customHeight="1">
      <c r="A41" s="55"/>
      <c r="B41" s="52"/>
      <c r="C41" s="56"/>
      <c r="D41" s="57"/>
      <c r="E41" s="57"/>
      <c r="F41" s="57"/>
      <c r="G41" s="58"/>
      <c r="I41" s="50"/>
    </row>
    <row r="42" ht="12.75" customHeight="1">
      <c r="A42" s="59"/>
      <c r="B42" s="60"/>
      <c r="C42" s="61"/>
      <c r="D42" s="62"/>
      <c r="E42" s="62"/>
      <c r="F42" s="62"/>
      <c r="G42" s="58"/>
    </row>
    <row r="43" ht="15.75" customHeight="1">
      <c r="A43" s="63"/>
      <c r="B43" s="64"/>
      <c r="C43" s="65"/>
      <c r="D43" s="66"/>
      <c r="E43" s="66"/>
      <c r="F43" s="66"/>
      <c r="G43" s="66"/>
      <c r="I43" s="50"/>
    </row>
    <row r="44" ht="15.75" customHeight="1">
      <c r="A44" s="41"/>
      <c r="B44" s="32"/>
      <c r="C44" s="67"/>
      <c r="D44" s="68"/>
      <c r="E44" s="68"/>
      <c r="F44" s="68"/>
      <c r="G44" s="68"/>
      <c r="I44" s="43"/>
    </row>
    <row r="45" ht="15.75" customHeight="1">
      <c r="A45" s="69"/>
      <c r="B45" s="32"/>
      <c r="C45" s="32"/>
      <c r="D45" s="27"/>
      <c r="E45" s="27"/>
      <c r="F45" s="68"/>
      <c r="G45" s="68"/>
    </row>
    <row r="46" ht="15.0" customHeight="1">
      <c r="A46" s="70"/>
      <c r="B46" s="32"/>
      <c r="C46" s="67"/>
      <c r="D46" s="27"/>
      <c r="E46" s="27"/>
      <c r="F46" s="68"/>
      <c r="G46" s="68"/>
    </row>
    <row r="47" ht="15.0" customHeight="1">
      <c r="A47" s="71"/>
      <c r="B47" s="32"/>
      <c r="C47" s="67"/>
      <c r="D47" s="27"/>
      <c r="E47" s="27"/>
      <c r="F47" s="68"/>
      <c r="G47" s="68"/>
      <c r="I47" s="72"/>
    </row>
    <row r="48" ht="15.0" customHeight="1">
      <c r="A48" s="31"/>
      <c r="B48" s="32"/>
      <c r="C48" s="67"/>
      <c r="D48" s="27"/>
      <c r="E48" s="27"/>
      <c r="F48" s="68"/>
      <c r="G48" s="68"/>
      <c r="I48" s="72"/>
    </row>
    <row r="49" ht="15.0" customHeight="1">
      <c r="A49" s="71"/>
      <c r="B49" s="32"/>
      <c r="C49" s="67"/>
      <c r="D49" s="27"/>
      <c r="E49" s="27"/>
      <c r="F49" s="68"/>
      <c r="G49" s="68"/>
      <c r="I49" s="72"/>
    </row>
    <row r="50" ht="15.0" customHeight="1">
      <c r="A50" s="71"/>
      <c r="B50" s="32"/>
      <c r="C50" s="67"/>
      <c r="D50" s="27"/>
      <c r="E50" s="27"/>
      <c r="F50" s="68"/>
      <c r="G50" s="68"/>
      <c r="I50" s="72"/>
    </row>
    <row r="51" ht="15.0" customHeight="1">
      <c r="A51" s="71"/>
      <c r="B51" s="32"/>
      <c r="C51" s="67"/>
      <c r="D51" s="27"/>
      <c r="E51" s="27"/>
      <c r="F51" s="68"/>
      <c r="G51" s="68"/>
      <c r="I51" s="72"/>
    </row>
    <row r="52" ht="15.75" customHeight="1">
      <c r="A52" s="69"/>
      <c r="B52" s="32"/>
      <c r="C52" s="67"/>
      <c r="D52" s="27"/>
      <c r="E52" s="42"/>
      <c r="F52" s="73"/>
      <c r="G52" s="73"/>
      <c r="H52" s="72"/>
      <c r="I52" s="50"/>
    </row>
    <row r="53" ht="15.75" customHeight="1">
      <c r="A53" s="74" t="s">
        <v>55</v>
      </c>
      <c r="B53" s="75"/>
      <c r="C53" s="75"/>
      <c r="D53" s="76"/>
      <c r="E53" s="77">
        <f t="shared" ref="E53:F53" si="3">+E52+E42+E35</f>
        <v>293700</v>
      </c>
      <c r="F53" s="77">
        <f t="shared" si="3"/>
        <v>229500</v>
      </c>
      <c r="G53" s="77">
        <f>+G52+G35</f>
        <v>15700</v>
      </c>
      <c r="H53" s="50"/>
      <c r="I53" s="43"/>
    </row>
    <row r="54" ht="15.75" customHeight="1">
      <c r="A54" s="78" t="s">
        <v>56</v>
      </c>
      <c r="B54" s="78"/>
      <c r="C54" s="78"/>
      <c r="D54" s="78"/>
      <c r="E54" s="79">
        <f>+E53/E53</f>
        <v>1</v>
      </c>
      <c r="F54" s="79">
        <f>+F53/E53</f>
        <v>0.7814096016</v>
      </c>
      <c r="G54" s="79">
        <v>0.55</v>
      </c>
      <c r="H54" s="43"/>
      <c r="I54" s="50"/>
    </row>
    <row r="55" ht="15.0" customHeight="1">
      <c r="A55" s="80"/>
      <c r="B55" s="5"/>
      <c r="C55" s="5"/>
      <c r="D55" s="5"/>
      <c r="E55" s="81"/>
      <c r="F55" s="5"/>
      <c r="G55" s="80"/>
    </row>
    <row r="56" ht="12.75" customHeight="1">
      <c r="A56" s="72"/>
      <c r="E56" s="50"/>
      <c r="G56" s="72"/>
      <c r="H56" s="43"/>
    </row>
    <row r="57" ht="12.75" customHeight="1">
      <c r="A57" s="82" t="s">
        <v>57</v>
      </c>
    </row>
    <row r="58" ht="12.75" customHeight="1">
      <c r="A58" s="83"/>
      <c r="B58" s="84" t="s">
        <v>58</v>
      </c>
      <c r="C58" s="85"/>
      <c r="D58" s="16"/>
      <c r="E58" s="86" t="s">
        <v>59</v>
      </c>
      <c r="F58" s="85"/>
      <c r="G58" s="16"/>
    </row>
    <row r="59" ht="12.75" customHeight="1">
      <c r="A59" s="87" t="s">
        <v>60</v>
      </c>
      <c r="B59" s="88" t="s">
        <v>27</v>
      </c>
      <c r="C59" s="88" t="s">
        <v>28</v>
      </c>
      <c r="D59" s="88" t="s">
        <v>26</v>
      </c>
      <c r="E59" s="89" t="s">
        <v>27</v>
      </c>
      <c r="F59" s="90" t="s">
        <v>28</v>
      </c>
      <c r="G59" s="89" t="s">
        <v>26</v>
      </c>
    </row>
    <row r="60" ht="12.75" customHeight="1">
      <c r="A60" s="91"/>
      <c r="B60" s="92"/>
      <c r="C60" s="92"/>
      <c r="D60" s="92"/>
      <c r="E60" s="93"/>
      <c r="F60" s="93"/>
      <c r="G60" s="93"/>
    </row>
    <row r="61" ht="12.75" customHeight="1">
      <c r="A61" s="87" t="s">
        <v>61</v>
      </c>
      <c r="B61" s="94">
        <v>215000.0</v>
      </c>
      <c r="C61" s="94">
        <v>1700.0</v>
      </c>
      <c r="D61" s="94">
        <f t="shared" ref="D61:D63" si="5">B61+C61</f>
        <v>216700</v>
      </c>
      <c r="E61" s="90">
        <f t="shared" ref="E61:F61" si="4">B61*9</f>
        <v>1935000</v>
      </c>
      <c r="F61" s="95">
        <f t="shared" si="4"/>
        <v>15300</v>
      </c>
      <c r="G61" s="90">
        <f t="shared" ref="G61:G63" si="7">E61+F61</f>
        <v>1950300</v>
      </c>
    </row>
    <row r="62" ht="12.75" customHeight="1">
      <c r="A62" s="96" t="s">
        <v>62</v>
      </c>
      <c r="B62" s="94">
        <v>63000.0</v>
      </c>
      <c r="C62" s="94">
        <v>14000.0</v>
      </c>
      <c r="D62" s="94">
        <f t="shared" si="5"/>
        <v>77000</v>
      </c>
      <c r="E62" s="95">
        <f t="shared" ref="E62:F62" si="6">B62*9</f>
        <v>567000</v>
      </c>
      <c r="F62" s="95">
        <f t="shared" si="6"/>
        <v>126000</v>
      </c>
      <c r="G62" s="95">
        <f t="shared" si="7"/>
        <v>693000</v>
      </c>
    </row>
    <row r="63" ht="12.75" customHeight="1">
      <c r="A63" s="96" t="s">
        <v>63</v>
      </c>
      <c r="B63" s="94">
        <v>2000.0</v>
      </c>
      <c r="C63" s="92"/>
      <c r="D63" s="94">
        <f t="shared" si="5"/>
        <v>2000</v>
      </c>
      <c r="E63" s="95">
        <f t="shared" ref="E63:F63" si="8">B63*9</f>
        <v>18000</v>
      </c>
      <c r="F63" s="89">
        <f t="shared" si="8"/>
        <v>0</v>
      </c>
      <c r="G63" s="95">
        <f t="shared" si="7"/>
        <v>18000</v>
      </c>
    </row>
    <row r="64" ht="12.75" customHeight="1">
      <c r="A64" s="96" t="s">
        <v>64</v>
      </c>
      <c r="B64" s="94">
        <f>B61+B62+B63</f>
        <v>280000</v>
      </c>
      <c r="C64" s="94">
        <f>C61+C62</f>
        <v>15700</v>
      </c>
      <c r="D64" s="94">
        <f>SUM(D61:D63)</f>
        <v>295700</v>
      </c>
      <c r="E64" s="95">
        <f t="shared" ref="E64:F64" si="9">B64*9</f>
        <v>2520000</v>
      </c>
      <c r="F64" s="95">
        <f t="shared" si="9"/>
        <v>141300</v>
      </c>
      <c r="G64" s="95">
        <f>G61+G62+G63</f>
        <v>2661300</v>
      </c>
    </row>
    <row r="65" ht="12.75" customHeight="1">
      <c r="A65" s="96" t="s">
        <v>65</v>
      </c>
      <c r="B65" s="97">
        <f>B64/D64</f>
        <v>0.9469056476</v>
      </c>
      <c r="C65" s="97">
        <f>C64/D64</f>
        <v>0.05309435238</v>
      </c>
      <c r="D65" s="97">
        <v>1.0</v>
      </c>
      <c r="E65" s="98">
        <f>E64/G64</f>
        <v>0.9469056476</v>
      </c>
      <c r="F65" s="99">
        <f>F64/G64</f>
        <v>0.05309435238</v>
      </c>
      <c r="G65" s="99">
        <v>1.0</v>
      </c>
    </row>
    <row r="66" ht="12.75" customHeight="1"/>
    <row r="67" ht="12.75" customHeight="1"/>
    <row r="68" ht="12.75" customHeight="1"/>
    <row r="69" ht="12.75" customHeight="1">
      <c r="E69" s="72"/>
    </row>
    <row r="70" ht="12.75" customHeight="1"/>
    <row r="71" ht="12.75" customHeight="1"/>
    <row r="72" ht="12.75" customHeight="1"/>
    <row r="73" ht="12.75" customHeight="1">
      <c r="E73" s="50"/>
    </row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A9:G9"/>
    <mergeCell ref="F10:G10"/>
    <mergeCell ref="A36:B36"/>
    <mergeCell ref="B58:D58"/>
    <mergeCell ref="E58:G5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9966"/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40.25"/>
    <col customWidth="1" min="3" max="3" width="16.13"/>
    <col customWidth="1" min="4" max="4" width="14.25"/>
    <col customWidth="1" min="5" max="5" width="14.5"/>
    <col customWidth="1" min="6" max="6" width="13.75"/>
    <col customWidth="1" min="7" max="14" width="11.0"/>
    <col customWidth="1" min="15" max="15" width="13.75"/>
    <col customWidth="1" min="16" max="16" width="14.88"/>
    <col customWidth="1" min="17" max="18" width="11.75"/>
    <col customWidth="1" min="19" max="26" width="8.0"/>
  </cols>
  <sheetData>
    <row r="1" ht="18.0" customHeight="1">
      <c r="A1" s="2" t="s">
        <v>66</v>
      </c>
      <c r="P1" s="100"/>
    </row>
    <row r="2" ht="12.75" customHeight="1">
      <c r="P2" s="100"/>
    </row>
    <row r="3" ht="18.0" customHeight="1">
      <c r="A3" s="2" t="s">
        <v>67</v>
      </c>
      <c r="P3" s="100"/>
    </row>
    <row r="4" ht="12.75" customHeight="1">
      <c r="P4" s="100"/>
    </row>
    <row r="5" ht="15.75" customHeight="1">
      <c r="A5" s="6" t="s">
        <v>14</v>
      </c>
      <c r="B5" s="7"/>
      <c r="C5" s="7"/>
      <c r="D5" s="7"/>
      <c r="E5" s="7"/>
      <c r="F5" s="7"/>
      <c r="G5" s="101"/>
      <c r="H5" s="102"/>
      <c r="I5" s="102"/>
      <c r="J5" s="102"/>
      <c r="K5" s="102"/>
      <c r="L5" s="102"/>
      <c r="M5" s="102"/>
      <c r="N5" s="102"/>
      <c r="O5" s="102"/>
      <c r="P5" s="100"/>
    </row>
    <row r="6" ht="15.75" customHeight="1">
      <c r="A6" s="6" t="s">
        <v>15</v>
      </c>
      <c r="B6" s="7"/>
      <c r="C6" s="7"/>
      <c r="D6" s="7"/>
      <c r="E6" s="7"/>
      <c r="F6" s="7"/>
      <c r="G6" s="101"/>
      <c r="H6" s="102"/>
      <c r="I6" s="102"/>
      <c r="J6" s="102"/>
      <c r="K6" s="102"/>
      <c r="L6" s="102"/>
      <c r="M6" s="102"/>
      <c r="N6" s="102"/>
      <c r="O6" s="102"/>
      <c r="P6" s="100"/>
    </row>
    <row r="7" ht="15.75" customHeight="1">
      <c r="A7" s="6" t="s">
        <v>16</v>
      </c>
      <c r="B7" s="7"/>
      <c r="C7" s="8"/>
      <c r="E7" s="8"/>
      <c r="F7" s="8"/>
      <c r="G7" s="103"/>
      <c r="H7" s="102"/>
      <c r="I7" s="102"/>
      <c r="J7" s="102"/>
      <c r="K7" s="102"/>
      <c r="L7" s="102"/>
      <c r="M7" s="102"/>
      <c r="N7" s="102"/>
      <c r="O7" s="102"/>
      <c r="P7" s="100"/>
    </row>
    <row r="8" ht="15.75" customHeight="1">
      <c r="A8" s="7"/>
      <c r="B8" s="7"/>
      <c r="C8" s="8"/>
      <c r="D8" s="8"/>
      <c r="E8" s="7"/>
      <c r="F8" s="8"/>
      <c r="G8" s="103"/>
      <c r="H8" s="102"/>
      <c r="I8" s="102"/>
      <c r="J8" s="102"/>
      <c r="K8" s="102"/>
      <c r="L8" s="102"/>
      <c r="M8" s="102"/>
      <c r="N8" s="102"/>
      <c r="O8" s="102"/>
      <c r="P8" s="100"/>
    </row>
    <row r="9" ht="15.75" customHeight="1">
      <c r="A9" s="5"/>
      <c r="B9" s="7" t="s">
        <v>68</v>
      </c>
      <c r="C9" s="7"/>
      <c r="D9" s="5"/>
      <c r="E9" s="5"/>
      <c r="F9" s="7"/>
      <c r="G9" s="102"/>
      <c r="H9" s="102"/>
      <c r="I9" s="102"/>
      <c r="J9" s="102"/>
      <c r="K9" s="102"/>
      <c r="L9" s="102"/>
      <c r="M9" s="102"/>
      <c r="N9" s="102"/>
      <c r="O9" s="102"/>
      <c r="P9" s="100"/>
    </row>
    <row r="10" ht="15.75" customHeight="1">
      <c r="A10" s="104" t="s">
        <v>69</v>
      </c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16"/>
      <c r="P10" s="100"/>
    </row>
    <row r="11" ht="15.75" customHeight="1">
      <c r="A11" s="105" t="s">
        <v>70</v>
      </c>
      <c r="B11" s="16"/>
      <c r="C11" s="106" t="s">
        <v>71</v>
      </c>
      <c r="D11" s="106" t="s">
        <v>72</v>
      </c>
      <c r="E11" s="106" t="s">
        <v>73</v>
      </c>
      <c r="F11" s="106" t="s">
        <v>74</v>
      </c>
      <c r="G11" s="106" t="s">
        <v>75</v>
      </c>
      <c r="H11" s="106" t="s">
        <v>76</v>
      </c>
      <c r="I11" s="106" t="s">
        <v>77</v>
      </c>
      <c r="J11" s="106" t="s">
        <v>78</v>
      </c>
      <c r="K11" s="106" t="s">
        <v>79</v>
      </c>
      <c r="L11" s="106" t="s">
        <v>80</v>
      </c>
      <c r="M11" s="106" t="s">
        <v>81</v>
      </c>
      <c r="N11" s="106" t="s">
        <v>82</v>
      </c>
      <c r="O11" s="106" t="s">
        <v>26</v>
      </c>
      <c r="P11" s="100"/>
    </row>
    <row r="12" ht="15.75" customHeight="1">
      <c r="A12" s="107" t="s">
        <v>83</v>
      </c>
      <c r="B12" s="108"/>
      <c r="C12" s="109">
        <v>92169.19</v>
      </c>
      <c r="D12" s="110">
        <f t="shared" ref="D12:N12" si="1">C12*0.01+C12</f>
        <v>93090.8819</v>
      </c>
      <c r="E12" s="110">
        <f t="shared" si="1"/>
        <v>94021.79072</v>
      </c>
      <c r="F12" s="110">
        <f t="shared" si="1"/>
        <v>94962.00863</v>
      </c>
      <c r="G12" s="110">
        <f t="shared" si="1"/>
        <v>95911.62871</v>
      </c>
      <c r="H12" s="110">
        <f t="shared" si="1"/>
        <v>96870.745</v>
      </c>
      <c r="I12" s="110">
        <f t="shared" si="1"/>
        <v>97839.45245</v>
      </c>
      <c r="J12" s="110">
        <f t="shared" si="1"/>
        <v>98817.84697</v>
      </c>
      <c r="K12" s="110">
        <f t="shared" si="1"/>
        <v>99806.02544</v>
      </c>
      <c r="L12" s="110">
        <f t="shared" si="1"/>
        <v>100804.0857</v>
      </c>
      <c r="M12" s="110">
        <f t="shared" si="1"/>
        <v>101812.1266</v>
      </c>
      <c r="N12" s="110">
        <f t="shared" si="1"/>
        <v>102830.2478</v>
      </c>
      <c r="O12" s="111">
        <f t="shared" ref="O12:O14" si="3">SUM(B12:N12)</f>
        <v>1168936.03</v>
      </c>
      <c r="P12" s="100"/>
    </row>
    <row r="13" ht="15.75" customHeight="1">
      <c r="A13" s="112" t="s">
        <v>84</v>
      </c>
      <c r="B13" s="113"/>
      <c r="C13" s="114">
        <v>18195.79</v>
      </c>
      <c r="D13" s="114">
        <f t="shared" ref="D13:N13" si="2">C13*0.01+C13</f>
        <v>18377.7479</v>
      </c>
      <c r="E13" s="114">
        <f t="shared" si="2"/>
        <v>18561.52538</v>
      </c>
      <c r="F13" s="114">
        <f t="shared" si="2"/>
        <v>18747.14063</v>
      </c>
      <c r="G13" s="114">
        <f t="shared" si="2"/>
        <v>18934.61204</v>
      </c>
      <c r="H13" s="114">
        <f t="shared" si="2"/>
        <v>19123.95816</v>
      </c>
      <c r="I13" s="114">
        <f t="shared" si="2"/>
        <v>19315.19774</v>
      </c>
      <c r="J13" s="114">
        <f t="shared" si="2"/>
        <v>19508.34972</v>
      </c>
      <c r="K13" s="114">
        <f t="shared" si="2"/>
        <v>19703.43322</v>
      </c>
      <c r="L13" s="114">
        <f t="shared" si="2"/>
        <v>19900.46755</v>
      </c>
      <c r="M13" s="114">
        <f t="shared" si="2"/>
        <v>20099.47222</v>
      </c>
      <c r="N13" s="114">
        <f t="shared" si="2"/>
        <v>20300.46695</v>
      </c>
      <c r="O13" s="115">
        <f t="shared" si="3"/>
        <v>230768.1615</v>
      </c>
      <c r="P13" s="100"/>
    </row>
    <row r="14" ht="15.75" customHeight="1">
      <c r="A14" s="116" t="s">
        <v>85</v>
      </c>
      <c r="B14" s="16"/>
      <c r="C14" s="117">
        <v>300000.0</v>
      </c>
      <c r="D14" s="117">
        <v>300000.0</v>
      </c>
      <c r="E14" s="117">
        <v>300000.0</v>
      </c>
      <c r="F14" s="117">
        <v>300000.0</v>
      </c>
      <c r="G14" s="117">
        <v>300000.0</v>
      </c>
      <c r="H14" s="117">
        <v>300000.0</v>
      </c>
      <c r="I14" s="117">
        <v>300000.0</v>
      </c>
      <c r="J14" s="117">
        <v>300000.0</v>
      </c>
      <c r="K14" s="117">
        <v>300000.0</v>
      </c>
      <c r="L14" s="117">
        <v>300000.0</v>
      </c>
      <c r="M14" s="117">
        <v>300000.0</v>
      </c>
      <c r="N14" s="117">
        <v>300000.0</v>
      </c>
      <c r="O14" s="115">
        <f t="shared" si="3"/>
        <v>3600000</v>
      </c>
      <c r="P14" s="100"/>
    </row>
    <row r="15" ht="15.75" customHeight="1">
      <c r="A15" s="118" t="s">
        <v>86</v>
      </c>
      <c r="B15" s="108"/>
      <c r="C15" s="119">
        <f t="shared" ref="C15:N15" si="4">SUM(C12:C14)</f>
        <v>410364.98</v>
      </c>
      <c r="D15" s="119">
        <f t="shared" si="4"/>
        <v>411468.6298</v>
      </c>
      <c r="E15" s="119">
        <f t="shared" si="4"/>
        <v>412583.3161</v>
      </c>
      <c r="F15" s="119">
        <f t="shared" si="4"/>
        <v>413709.1493</v>
      </c>
      <c r="G15" s="119">
        <f t="shared" si="4"/>
        <v>414846.2408</v>
      </c>
      <c r="H15" s="119">
        <f t="shared" si="4"/>
        <v>415994.7032</v>
      </c>
      <c r="I15" s="119">
        <f t="shared" si="4"/>
        <v>417154.6502</v>
      </c>
      <c r="J15" s="119">
        <f t="shared" si="4"/>
        <v>418326.1967</v>
      </c>
      <c r="K15" s="119">
        <f t="shared" si="4"/>
        <v>419509.4587</v>
      </c>
      <c r="L15" s="119">
        <f t="shared" si="4"/>
        <v>420704.5532</v>
      </c>
      <c r="M15" s="119">
        <f t="shared" si="4"/>
        <v>421911.5988</v>
      </c>
      <c r="N15" s="119">
        <f t="shared" si="4"/>
        <v>423130.7148</v>
      </c>
      <c r="O15" s="119">
        <f>SUM(C15:N15)</f>
        <v>4999704.191</v>
      </c>
      <c r="P15" s="100"/>
    </row>
    <row r="16" ht="15.75" customHeight="1">
      <c r="A16" s="120"/>
      <c r="B16" s="121"/>
      <c r="C16" s="122"/>
      <c r="D16" s="123"/>
      <c r="E16" s="123"/>
      <c r="F16" s="124" t="s">
        <v>87</v>
      </c>
      <c r="G16" s="66"/>
      <c r="H16" s="66"/>
      <c r="I16" s="66"/>
      <c r="J16" s="124" t="s">
        <v>88</v>
      </c>
      <c r="K16" s="125">
        <v>0.0</v>
      </c>
      <c r="L16" s="125">
        <v>0.0</v>
      </c>
      <c r="M16" s="125">
        <f>+M13*A16</f>
        <v>0</v>
      </c>
      <c r="N16" s="125"/>
      <c r="O16" s="61" t="str">
        <f>+J16</f>
        <v>aumento 3%</v>
      </c>
      <c r="P16" s="100"/>
    </row>
    <row r="17" ht="15.75" customHeight="1">
      <c r="A17" s="118" t="s">
        <v>89</v>
      </c>
      <c r="B17" s="126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8"/>
      <c r="P17" s="80"/>
    </row>
    <row r="18" ht="15.75" customHeight="1">
      <c r="A18" s="129" t="s">
        <v>90</v>
      </c>
      <c r="B18" s="130"/>
      <c r="C18" s="127">
        <f>'M. DE CALCULO DE COSTOS VARIABL'!E15</f>
        <v>215000</v>
      </c>
      <c r="D18" s="127">
        <f t="shared" ref="D18:N18" si="5">C18</f>
        <v>215000</v>
      </c>
      <c r="E18" s="127">
        <f t="shared" si="5"/>
        <v>215000</v>
      </c>
      <c r="F18" s="127">
        <f t="shared" si="5"/>
        <v>215000</v>
      </c>
      <c r="G18" s="127">
        <f t="shared" si="5"/>
        <v>215000</v>
      </c>
      <c r="H18" s="127">
        <f t="shared" si="5"/>
        <v>215000</v>
      </c>
      <c r="I18" s="127">
        <f t="shared" si="5"/>
        <v>215000</v>
      </c>
      <c r="J18" s="127">
        <f t="shared" si="5"/>
        <v>215000</v>
      </c>
      <c r="K18" s="127">
        <f t="shared" si="5"/>
        <v>215000</v>
      </c>
      <c r="L18" s="127">
        <f t="shared" si="5"/>
        <v>215000</v>
      </c>
      <c r="M18" s="127">
        <f t="shared" si="5"/>
        <v>215000</v>
      </c>
      <c r="N18" s="127">
        <f t="shared" si="5"/>
        <v>215000</v>
      </c>
      <c r="O18" s="127">
        <f t="shared" ref="O18:O20" si="6">SUM(B18:N18)</f>
        <v>2580000</v>
      </c>
      <c r="P18" s="80"/>
    </row>
    <row r="19" ht="15.75" customHeight="1">
      <c r="A19" s="129" t="s">
        <v>91</v>
      </c>
      <c r="B19" s="130"/>
      <c r="C19" s="131">
        <f>'M. DE CALCULO DE GASTOS FIJOS'!F36</f>
        <v>40521.94</v>
      </c>
      <c r="D19" s="131">
        <f>'M. DE CALCULO DE GASTOS FIJOS'!G36</f>
        <v>33521.94</v>
      </c>
      <c r="E19" s="131">
        <f>'M. DE CALCULO DE GASTOS FIJOS'!H36</f>
        <v>33521.94</v>
      </c>
      <c r="F19" s="131">
        <f>'M. DE CALCULO DE GASTOS FIJOS'!I36</f>
        <v>33521.94</v>
      </c>
      <c r="G19" s="131">
        <f>'M. DE CALCULO DE GASTOS FIJOS'!J36</f>
        <v>33521.94</v>
      </c>
      <c r="H19" s="131">
        <f>'M. DE CALCULO DE GASTOS FIJOS'!K36</f>
        <v>33521.94</v>
      </c>
      <c r="I19" s="131">
        <f>'M. DE CALCULO DE GASTOS FIJOS'!L36</f>
        <v>33521.94</v>
      </c>
      <c r="J19" s="131">
        <f>'M. DE CALCULO DE GASTOS FIJOS'!M36</f>
        <v>33521.94</v>
      </c>
      <c r="K19" s="131">
        <f>'M. DE CALCULO DE GASTOS FIJOS'!N36</f>
        <v>33521.94</v>
      </c>
      <c r="L19" s="131">
        <f>'M. DE CALCULO DE GASTOS FIJOS'!O36</f>
        <v>33521.94</v>
      </c>
      <c r="M19" s="131">
        <f>'M. DE CALCULO DE GASTOS FIJOS'!P36</f>
        <v>33521.94</v>
      </c>
      <c r="N19" s="131">
        <f>'M. DE CALCULO DE GASTOS FIJOS'!Q36</f>
        <v>33521.94</v>
      </c>
      <c r="O19" s="127">
        <f t="shared" si="6"/>
        <v>409263.28</v>
      </c>
      <c r="P19" s="80"/>
    </row>
    <row r="20" ht="15.75" customHeight="1">
      <c r="A20" s="41" t="s">
        <v>92</v>
      </c>
      <c r="B20" s="132"/>
      <c r="C20" s="133">
        <f t="shared" ref="C20:N20" si="7">C15-C18-C19</f>
        <v>154843.04</v>
      </c>
      <c r="D20" s="133">
        <f t="shared" si="7"/>
        <v>162946.6898</v>
      </c>
      <c r="E20" s="133">
        <f t="shared" si="7"/>
        <v>164061.3761</v>
      </c>
      <c r="F20" s="133">
        <f t="shared" si="7"/>
        <v>165187.2093</v>
      </c>
      <c r="G20" s="133">
        <f t="shared" si="7"/>
        <v>166324.3008</v>
      </c>
      <c r="H20" s="133">
        <f t="shared" si="7"/>
        <v>167472.7632</v>
      </c>
      <c r="I20" s="133">
        <f t="shared" si="7"/>
        <v>168632.7102</v>
      </c>
      <c r="J20" s="133">
        <f t="shared" si="7"/>
        <v>169804.2567</v>
      </c>
      <c r="K20" s="133">
        <f t="shared" si="7"/>
        <v>170987.5187</v>
      </c>
      <c r="L20" s="133">
        <f t="shared" si="7"/>
        <v>172182.6132</v>
      </c>
      <c r="M20" s="133">
        <f t="shared" si="7"/>
        <v>173389.6588</v>
      </c>
      <c r="N20" s="133">
        <f t="shared" si="7"/>
        <v>174608.7748</v>
      </c>
      <c r="O20" s="134">
        <f t="shared" si="6"/>
        <v>2010440.911</v>
      </c>
      <c r="P20" s="135" t="s">
        <v>93</v>
      </c>
      <c r="Q20" s="72"/>
    </row>
    <row r="21" ht="15.75" customHeight="1">
      <c r="A21" s="63" t="s">
        <v>94</v>
      </c>
      <c r="B21" s="136"/>
      <c r="C21" s="133">
        <f>+C20</f>
        <v>154843.04</v>
      </c>
      <c r="D21" s="137">
        <f t="shared" ref="D21:N21" si="8">+D20+C21</f>
        <v>317789.7298</v>
      </c>
      <c r="E21" s="137">
        <f t="shared" si="8"/>
        <v>481851.1059</v>
      </c>
      <c r="F21" s="137">
        <f t="shared" si="8"/>
        <v>647038.3152</v>
      </c>
      <c r="G21" s="137">
        <f t="shared" si="8"/>
        <v>813362.6159</v>
      </c>
      <c r="H21" s="137">
        <f t="shared" si="8"/>
        <v>980835.3791</v>
      </c>
      <c r="I21" s="137">
        <f t="shared" si="8"/>
        <v>1149468.089</v>
      </c>
      <c r="J21" s="137">
        <f t="shared" si="8"/>
        <v>1319272.346</v>
      </c>
      <c r="K21" s="137">
        <f t="shared" si="8"/>
        <v>1490259.865</v>
      </c>
      <c r="L21" s="137">
        <f t="shared" si="8"/>
        <v>1662442.478</v>
      </c>
      <c r="M21" s="137">
        <f t="shared" si="8"/>
        <v>1835832.137</v>
      </c>
      <c r="N21" s="137">
        <f t="shared" si="8"/>
        <v>2010440.911</v>
      </c>
      <c r="O21" s="138">
        <f>+N21</f>
        <v>2010440.911</v>
      </c>
      <c r="P21" s="139">
        <f>O21*9</f>
        <v>18093968.2</v>
      </c>
    </row>
    <row r="22" ht="15.0" customHeight="1">
      <c r="A22" s="5"/>
      <c r="B22" s="5"/>
      <c r="C22" s="8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1"/>
      <c r="R22" s="72"/>
    </row>
    <row r="23" ht="15.0" customHeight="1">
      <c r="A23" s="5"/>
      <c r="B23" s="5"/>
      <c r="C23" s="8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80"/>
    </row>
    <row r="24" ht="15.0" customHeight="1">
      <c r="A24" s="5"/>
      <c r="B24" s="5"/>
      <c r="C24" s="8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80"/>
      <c r="Q24" s="72"/>
    </row>
    <row r="25" ht="15.75" customHeight="1">
      <c r="A25" s="7" t="s">
        <v>95</v>
      </c>
      <c r="B25" s="5"/>
      <c r="C25" s="8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72"/>
    </row>
    <row r="26" ht="15.75" customHeight="1">
      <c r="A26" s="7"/>
      <c r="B26" s="5"/>
      <c r="C26" s="8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80"/>
      <c r="Q26" s="72"/>
    </row>
    <row r="27" ht="15.75" customHeight="1">
      <c r="A27" s="104" t="s">
        <v>96</v>
      </c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16"/>
      <c r="P27" s="80"/>
      <c r="Q27" s="72"/>
    </row>
    <row r="28" ht="15.75" customHeight="1">
      <c r="A28" s="105" t="s">
        <v>70</v>
      </c>
      <c r="B28" s="16"/>
      <c r="C28" s="106" t="s">
        <v>71</v>
      </c>
      <c r="D28" s="106" t="s">
        <v>72</v>
      </c>
      <c r="E28" s="106" t="s">
        <v>73</v>
      </c>
      <c r="F28" s="106" t="s">
        <v>74</v>
      </c>
      <c r="G28" s="106" t="s">
        <v>75</v>
      </c>
      <c r="H28" s="106" t="s">
        <v>76</v>
      </c>
      <c r="I28" s="106" t="s">
        <v>77</v>
      </c>
      <c r="J28" s="106" t="s">
        <v>78</v>
      </c>
      <c r="K28" s="106" t="s">
        <v>79</v>
      </c>
      <c r="L28" s="106" t="s">
        <v>80</v>
      </c>
      <c r="M28" s="106" t="s">
        <v>81</v>
      </c>
      <c r="N28" s="106" t="s">
        <v>82</v>
      </c>
      <c r="O28" s="106" t="s">
        <v>26</v>
      </c>
      <c r="P28" s="80"/>
      <c r="Q28" s="72"/>
    </row>
    <row r="29" ht="15.75" customHeight="1">
      <c r="A29" s="107" t="s">
        <v>83</v>
      </c>
      <c r="B29" s="108"/>
      <c r="C29" s="109">
        <f t="shared" ref="C29:C31" si="10">C12*1.09</f>
        <v>100464.4171</v>
      </c>
      <c r="D29" s="109">
        <f t="shared" ref="D29:N29" si="9">C29</f>
        <v>100464.4171</v>
      </c>
      <c r="E29" s="109">
        <f t="shared" si="9"/>
        <v>100464.4171</v>
      </c>
      <c r="F29" s="109">
        <f t="shared" si="9"/>
        <v>100464.4171</v>
      </c>
      <c r="G29" s="109">
        <f t="shared" si="9"/>
        <v>100464.4171</v>
      </c>
      <c r="H29" s="109">
        <f t="shared" si="9"/>
        <v>100464.4171</v>
      </c>
      <c r="I29" s="109">
        <f t="shared" si="9"/>
        <v>100464.4171</v>
      </c>
      <c r="J29" s="109">
        <f t="shared" si="9"/>
        <v>100464.4171</v>
      </c>
      <c r="K29" s="109">
        <f t="shared" si="9"/>
        <v>100464.4171</v>
      </c>
      <c r="L29" s="109">
        <f t="shared" si="9"/>
        <v>100464.4171</v>
      </c>
      <c r="M29" s="109">
        <f t="shared" si="9"/>
        <v>100464.4171</v>
      </c>
      <c r="N29" s="109">
        <f t="shared" si="9"/>
        <v>100464.4171</v>
      </c>
      <c r="O29" s="125">
        <f t="shared" ref="O29:O30" si="12">SUM(C29:N29)</f>
        <v>1205573.005</v>
      </c>
      <c r="P29" s="80"/>
      <c r="Q29" s="72"/>
    </row>
    <row r="30" ht="15.75" customHeight="1">
      <c r="A30" s="142" t="s">
        <v>84</v>
      </c>
      <c r="B30" s="136"/>
      <c r="C30" s="143">
        <f t="shared" si="10"/>
        <v>19833.4111</v>
      </c>
      <c r="D30" s="143">
        <f t="shared" ref="D30:N30" si="11">C30</f>
        <v>19833.4111</v>
      </c>
      <c r="E30" s="143">
        <f t="shared" si="11"/>
        <v>19833.4111</v>
      </c>
      <c r="F30" s="143">
        <f t="shared" si="11"/>
        <v>19833.4111</v>
      </c>
      <c r="G30" s="143">
        <f t="shared" si="11"/>
        <v>19833.4111</v>
      </c>
      <c r="H30" s="143">
        <f t="shared" si="11"/>
        <v>19833.4111</v>
      </c>
      <c r="I30" s="143">
        <f t="shared" si="11"/>
        <v>19833.4111</v>
      </c>
      <c r="J30" s="143">
        <f t="shared" si="11"/>
        <v>19833.4111</v>
      </c>
      <c r="K30" s="143">
        <f t="shared" si="11"/>
        <v>19833.4111</v>
      </c>
      <c r="L30" s="143">
        <f t="shared" si="11"/>
        <v>19833.4111</v>
      </c>
      <c r="M30" s="143">
        <f t="shared" si="11"/>
        <v>19833.4111</v>
      </c>
      <c r="N30" s="143">
        <f t="shared" si="11"/>
        <v>19833.4111</v>
      </c>
      <c r="O30" s="125">
        <f t="shared" si="12"/>
        <v>238000.9332</v>
      </c>
      <c r="P30" s="80"/>
      <c r="Q30" s="72"/>
    </row>
    <row r="31" ht="15.75" customHeight="1">
      <c r="A31" s="144" t="s">
        <v>85</v>
      </c>
      <c r="B31" s="16"/>
      <c r="C31" s="117">
        <f t="shared" si="10"/>
        <v>327000</v>
      </c>
      <c r="D31" s="117">
        <f t="shared" ref="D31:N31" si="13">D14*1.09</f>
        <v>327000</v>
      </c>
      <c r="E31" s="117">
        <f t="shared" si="13"/>
        <v>327000</v>
      </c>
      <c r="F31" s="117">
        <f t="shared" si="13"/>
        <v>327000</v>
      </c>
      <c r="G31" s="117">
        <f t="shared" si="13"/>
        <v>327000</v>
      </c>
      <c r="H31" s="117">
        <f t="shared" si="13"/>
        <v>327000</v>
      </c>
      <c r="I31" s="117">
        <f t="shared" si="13"/>
        <v>327000</v>
      </c>
      <c r="J31" s="117">
        <f t="shared" si="13"/>
        <v>327000</v>
      </c>
      <c r="K31" s="117">
        <f t="shared" si="13"/>
        <v>327000</v>
      </c>
      <c r="L31" s="117">
        <f t="shared" si="13"/>
        <v>327000</v>
      </c>
      <c r="M31" s="117">
        <f t="shared" si="13"/>
        <v>327000</v>
      </c>
      <c r="N31" s="117">
        <f t="shared" si="13"/>
        <v>327000</v>
      </c>
      <c r="O31" s="145">
        <f>SUM(B31:N31)</f>
        <v>3924000</v>
      </c>
      <c r="P31" s="80"/>
      <c r="Q31" s="72"/>
    </row>
    <row r="32" ht="15.75" customHeight="1">
      <c r="A32" s="146" t="s">
        <v>86</v>
      </c>
      <c r="B32" s="16"/>
      <c r="C32" s="147">
        <f>SUM(C29:C31)</f>
        <v>447297.8282</v>
      </c>
      <c r="D32" s="114">
        <f t="shared" ref="D32:N32" si="14">C32</f>
        <v>447297.8282</v>
      </c>
      <c r="E32" s="114">
        <f t="shared" si="14"/>
        <v>447297.8282</v>
      </c>
      <c r="F32" s="114">
        <f t="shared" si="14"/>
        <v>447297.8282</v>
      </c>
      <c r="G32" s="114">
        <f t="shared" si="14"/>
        <v>447297.8282</v>
      </c>
      <c r="H32" s="114">
        <f t="shared" si="14"/>
        <v>447297.8282</v>
      </c>
      <c r="I32" s="114">
        <f t="shared" si="14"/>
        <v>447297.8282</v>
      </c>
      <c r="J32" s="114">
        <f t="shared" si="14"/>
        <v>447297.8282</v>
      </c>
      <c r="K32" s="114">
        <f t="shared" si="14"/>
        <v>447297.8282</v>
      </c>
      <c r="L32" s="114">
        <f t="shared" si="14"/>
        <v>447297.8282</v>
      </c>
      <c r="M32" s="114">
        <f t="shared" si="14"/>
        <v>447297.8282</v>
      </c>
      <c r="N32" s="114">
        <f t="shared" si="14"/>
        <v>447297.8282</v>
      </c>
      <c r="O32" s="145">
        <f t="shared" ref="O32:O34" si="15">SUM(C32:N32)</f>
        <v>5367573.938</v>
      </c>
      <c r="P32" s="80"/>
      <c r="Q32" s="72"/>
    </row>
    <row r="33" ht="15.75" customHeight="1">
      <c r="A33" s="148"/>
      <c r="B33" s="16"/>
      <c r="C33" s="149"/>
      <c r="D33" s="67"/>
      <c r="E33" s="67"/>
      <c r="F33" s="68"/>
      <c r="G33" s="68"/>
      <c r="H33" s="68"/>
      <c r="I33" s="68"/>
      <c r="J33" s="68"/>
      <c r="K33" s="145">
        <v>0.0</v>
      </c>
      <c r="L33" s="145">
        <v>0.0</v>
      </c>
      <c r="M33" s="145">
        <f>+M30*A33</f>
        <v>0</v>
      </c>
      <c r="N33" s="145"/>
      <c r="O33" s="125">
        <f t="shared" si="15"/>
        <v>0</v>
      </c>
      <c r="P33" s="80"/>
      <c r="Q33" s="72"/>
    </row>
    <row r="34" ht="15.75" customHeight="1">
      <c r="A34" s="146" t="s">
        <v>89</v>
      </c>
      <c r="B34" s="16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25">
        <f t="shared" si="15"/>
        <v>0</v>
      </c>
      <c r="P34" s="80"/>
      <c r="Q34" s="72"/>
    </row>
    <row r="35" ht="15.75" customHeight="1">
      <c r="A35" s="113" t="s">
        <v>90</v>
      </c>
      <c r="B35" s="113"/>
      <c r="C35" s="150">
        <f t="shared" ref="C35:N35" si="16">C18*1.09</f>
        <v>234350</v>
      </c>
      <c r="D35" s="150">
        <f t="shared" si="16"/>
        <v>234350</v>
      </c>
      <c r="E35" s="150">
        <f t="shared" si="16"/>
        <v>234350</v>
      </c>
      <c r="F35" s="150">
        <f t="shared" si="16"/>
        <v>234350</v>
      </c>
      <c r="G35" s="150">
        <f t="shared" si="16"/>
        <v>234350</v>
      </c>
      <c r="H35" s="150">
        <f t="shared" si="16"/>
        <v>234350</v>
      </c>
      <c r="I35" s="150">
        <f t="shared" si="16"/>
        <v>234350</v>
      </c>
      <c r="J35" s="150">
        <f t="shared" si="16"/>
        <v>234350</v>
      </c>
      <c r="K35" s="150">
        <f t="shared" si="16"/>
        <v>234350</v>
      </c>
      <c r="L35" s="150">
        <f t="shared" si="16"/>
        <v>234350</v>
      </c>
      <c r="M35" s="150">
        <f t="shared" si="16"/>
        <v>234350</v>
      </c>
      <c r="N35" s="150">
        <f t="shared" si="16"/>
        <v>234350</v>
      </c>
      <c r="O35" s="145">
        <f>SUM(B35:N35)</f>
        <v>2812200</v>
      </c>
      <c r="P35" s="80"/>
      <c r="Q35" s="72"/>
    </row>
    <row r="36" ht="15.75" customHeight="1">
      <c r="A36" s="113" t="s">
        <v>91</v>
      </c>
      <c r="B36" s="113"/>
      <c r="C36" s="147">
        <f t="shared" ref="C36:M36" si="17">D19*1.09</f>
        <v>36538.9146</v>
      </c>
      <c r="D36" s="147">
        <f t="shared" si="17"/>
        <v>36538.9146</v>
      </c>
      <c r="E36" s="147">
        <f t="shared" si="17"/>
        <v>36538.9146</v>
      </c>
      <c r="F36" s="147">
        <f t="shared" si="17"/>
        <v>36538.9146</v>
      </c>
      <c r="G36" s="147">
        <f t="shared" si="17"/>
        <v>36538.9146</v>
      </c>
      <c r="H36" s="147">
        <f t="shared" si="17"/>
        <v>36538.9146</v>
      </c>
      <c r="I36" s="147">
        <f t="shared" si="17"/>
        <v>36538.9146</v>
      </c>
      <c r="J36" s="147">
        <f t="shared" si="17"/>
        <v>36538.9146</v>
      </c>
      <c r="K36" s="147">
        <f t="shared" si="17"/>
        <v>36538.9146</v>
      </c>
      <c r="L36" s="147">
        <f t="shared" si="17"/>
        <v>36538.9146</v>
      </c>
      <c r="M36" s="147">
        <f t="shared" si="17"/>
        <v>36538.9146</v>
      </c>
      <c r="N36" s="147">
        <f>N19*1.09</f>
        <v>36538.9146</v>
      </c>
      <c r="O36" s="145">
        <f t="shared" ref="O36:O37" si="19">SUM(C36:N36)</f>
        <v>438466.9752</v>
      </c>
      <c r="P36" s="80"/>
      <c r="Q36" s="72"/>
    </row>
    <row r="37" ht="15.75" customHeight="1">
      <c r="A37" s="113" t="s">
        <v>92</v>
      </c>
      <c r="B37" s="113"/>
      <c r="C37" s="134">
        <f t="shared" ref="C37:N37" si="18">C32-C35-C36</f>
        <v>176408.9136</v>
      </c>
      <c r="D37" s="134">
        <f t="shared" si="18"/>
        <v>176408.9136</v>
      </c>
      <c r="E37" s="134">
        <f t="shared" si="18"/>
        <v>176408.9136</v>
      </c>
      <c r="F37" s="134">
        <f t="shared" si="18"/>
        <v>176408.9136</v>
      </c>
      <c r="G37" s="134">
        <f t="shared" si="18"/>
        <v>176408.9136</v>
      </c>
      <c r="H37" s="134">
        <f t="shared" si="18"/>
        <v>176408.9136</v>
      </c>
      <c r="I37" s="134">
        <f t="shared" si="18"/>
        <v>176408.9136</v>
      </c>
      <c r="J37" s="134">
        <f t="shared" si="18"/>
        <v>176408.9136</v>
      </c>
      <c r="K37" s="134">
        <f t="shared" si="18"/>
        <v>176408.9136</v>
      </c>
      <c r="L37" s="134">
        <f t="shared" si="18"/>
        <v>176408.9136</v>
      </c>
      <c r="M37" s="134">
        <f t="shared" si="18"/>
        <v>176408.9136</v>
      </c>
      <c r="N37" s="134">
        <f t="shared" si="18"/>
        <v>176408.9136</v>
      </c>
      <c r="O37" s="125">
        <f t="shared" si="19"/>
        <v>2116906.963</v>
      </c>
      <c r="P37" s="135" t="s">
        <v>93</v>
      </c>
      <c r="Q37" s="72"/>
    </row>
    <row r="38" ht="15.75" customHeight="1">
      <c r="A38" s="63" t="s">
        <v>94</v>
      </c>
      <c r="B38" s="136"/>
      <c r="C38" s="133">
        <f>+C37</f>
        <v>176408.9136</v>
      </c>
      <c r="D38" s="137">
        <f t="shared" ref="D38:N38" si="20">+D37+C38</f>
        <v>352817.8272</v>
      </c>
      <c r="E38" s="137">
        <f t="shared" si="20"/>
        <v>529226.7408</v>
      </c>
      <c r="F38" s="137">
        <f t="shared" si="20"/>
        <v>705635.6544</v>
      </c>
      <c r="G38" s="137">
        <f t="shared" si="20"/>
        <v>882044.568</v>
      </c>
      <c r="H38" s="137">
        <f t="shared" si="20"/>
        <v>1058453.482</v>
      </c>
      <c r="I38" s="137">
        <f t="shared" si="20"/>
        <v>1234862.395</v>
      </c>
      <c r="J38" s="137">
        <f t="shared" si="20"/>
        <v>1411271.309</v>
      </c>
      <c r="K38" s="137">
        <f t="shared" si="20"/>
        <v>1587680.222</v>
      </c>
      <c r="L38" s="137">
        <f t="shared" si="20"/>
        <v>1764089.136</v>
      </c>
      <c r="M38" s="137">
        <f t="shared" si="20"/>
        <v>1940498.05</v>
      </c>
      <c r="N38" s="137">
        <f t="shared" si="20"/>
        <v>2116906.963</v>
      </c>
      <c r="O38" s="151">
        <f>+N38</f>
        <v>2116906.963</v>
      </c>
      <c r="P38" s="139">
        <f>O38*9</f>
        <v>19052162.67</v>
      </c>
      <c r="Q38" s="72"/>
    </row>
    <row r="39" ht="12.75" customHeight="1">
      <c r="A39" s="101"/>
      <c r="B39" s="101"/>
      <c r="C39" s="152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00"/>
    </row>
    <row r="40" ht="12.75" customHeight="1">
      <c r="A40" s="7" t="s">
        <v>95</v>
      </c>
      <c r="B40" s="5"/>
      <c r="C40" s="8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00"/>
    </row>
    <row r="41" ht="12.75" customHeight="1">
      <c r="A41" s="7"/>
      <c r="B41" s="5"/>
      <c r="C41" s="8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00"/>
    </row>
    <row r="42" ht="12.75" customHeight="1">
      <c r="A42" s="154" t="s">
        <v>97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16"/>
      <c r="P42" s="100"/>
    </row>
    <row r="43" ht="12.75" customHeight="1">
      <c r="A43" s="105" t="s">
        <v>70</v>
      </c>
      <c r="B43" s="16"/>
      <c r="C43" s="106" t="s">
        <v>71</v>
      </c>
      <c r="D43" s="106" t="s">
        <v>72</v>
      </c>
      <c r="E43" s="106" t="s">
        <v>73</v>
      </c>
      <c r="F43" s="106" t="s">
        <v>74</v>
      </c>
      <c r="G43" s="106" t="s">
        <v>75</v>
      </c>
      <c r="H43" s="106" t="s">
        <v>76</v>
      </c>
      <c r="I43" s="106" t="s">
        <v>77</v>
      </c>
      <c r="J43" s="106" t="s">
        <v>78</v>
      </c>
      <c r="K43" s="106" t="s">
        <v>79</v>
      </c>
      <c r="L43" s="106" t="s">
        <v>80</v>
      </c>
      <c r="M43" s="106" t="s">
        <v>81</v>
      </c>
      <c r="N43" s="106" t="s">
        <v>82</v>
      </c>
      <c r="O43" s="106" t="s">
        <v>26</v>
      </c>
      <c r="P43" s="100"/>
    </row>
    <row r="44" ht="12.75" customHeight="1">
      <c r="A44" s="155" t="s">
        <v>83</v>
      </c>
      <c r="B44" s="16"/>
      <c r="C44" s="114">
        <f t="shared" ref="C44:N44" si="21">100464.4171*1.09</f>
        <v>109506.2146</v>
      </c>
      <c r="D44" s="114">
        <f t="shared" si="21"/>
        <v>109506.2146</v>
      </c>
      <c r="E44" s="114">
        <f t="shared" si="21"/>
        <v>109506.2146</v>
      </c>
      <c r="F44" s="114">
        <f t="shared" si="21"/>
        <v>109506.2146</v>
      </c>
      <c r="G44" s="114">
        <f t="shared" si="21"/>
        <v>109506.2146</v>
      </c>
      <c r="H44" s="114">
        <f t="shared" si="21"/>
        <v>109506.2146</v>
      </c>
      <c r="I44" s="114">
        <f t="shared" si="21"/>
        <v>109506.2146</v>
      </c>
      <c r="J44" s="114">
        <f t="shared" si="21"/>
        <v>109506.2146</v>
      </c>
      <c r="K44" s="114">
        <f t="shared" si="21"/>
        <v>109506.2146</v>
      </c>
      <c r="L44" s="114">
        <f t="shared" si="21"/>
        <v>109506.2146</v>
      </c>
      <c r="M44" s="114">
        <f t="shared" si="21"/>
        <v>109506.2146</v>
      </c>
      <c r="N44" s="114">
        <f t="shared" si="21"/>
        <v>109506.2146</v>
      </c>
      <c r="O44" s="145">
        <f t="shared" ref="O44:O45" si="23">SUM(C43:N44)</f>
        <v>1314074.576</v>
      </c>
      <c r="P44" s="100"/>
    </row>
    <row r="45" ht="12.75" customHeight="1">
      <c r="A45" s="112" t="s">
        <v>84</v>
      </c>
      <c r="B45" s="113"/>
      <c r="C45" s="114">
        <f t="shared" ref="C45:N45" si="22">19833.4111*1.09</f>
        <v>21618.4181</v>
      </c>
      <c r="D45" s="114">
        <f t="shared" si="22"/>
        <v>21618.4181</v>
      </c>
      <c r="E45" s="114">
        <f t="shared" si="22"/>
        <v>21618.4181</v>
      </c>
      <c r="F45" s="114">
        <f t="shared" si="22"/>
        <v>21618.4181</v>
      </c>
      <c r="G45" s="114">
        <f t="shared" si="22"/>
        <v>21618.4181</v>
      </c>
      <c r="H45" s="114">
        <f t="shared" si="22"/>
        <v>21618.4181</v>
      </c>
      <c r="I45" s="114">
        <f t="shared" si="22"/>
        <v>21618.4181</v>
      </c>
      <c r="J45" s="114">
        <f t="shared" si="22"/>
        <v>21618.4181</v>
      </c>
      <c r="K45" s="114">
        <f t="shared" si="22"/>
        <v>21618.4181</v>
      </c>
      <c r="L45" s="114">
        <f t="shared" si="22"/>
        <v>21618.4181</v>
      </c>
      <c r="M45" s="114">
        <f t="shared" si="22"/>
        <v>21618.4181</v>
      </c>
      <c r="N45" s="114">
        <f t="shared" si="22"/>
        <v>21618.4181</v>
      </c>
      <c r="O45" s="145">
        <f t="shared" si="23"/>
        <v>1573495.593</v>
      </c>
      <c r="P45" s="100"/>
    </row>
    <row r="46" ht="12.75" customHeight="1">
      <c r="A46" s="144" t="s">
        <v>85</v>
      </c>
      <c r="B46" s="16"/>
      <c r="C46" s="117">
        <f t="shared" ref="C46:N46" si="24">C31*1.09</f>
        <v>356430</v>
      </c>
      <c r="D46" s="117">
        <f t="shared" si="24"/>
        <v>356430</v>
      </c>
      <c r="E46" s="117">
        <f t="shared" si="24"/>
        <v>356430</v>
      </c>
      <c r="F46" s="117">
        <f t="shared" si="24"/>
        <v>356430</v>
      </c>
      <c r="G46" s="117">
        <f t="shared" si="24"/>
        <v>356430</v>
      </c>
      <c r="H46" s="117">
        <f t="shared" si="24"/>
        <v>356430</v>
      </c>
      <c r="I46" s="117">
        <f t="shared" si="24"/>
        <v>356430</v>
      </c>
      <c r="J46" s="117">
        <f t="shared" si="24"/>
        <v>356430</v>
      </c>
      <c r="K46" s="117">
        <f t="shared" si="24"/>
        <v>356430</v>
      </c>
      <c r="L46" s="117">
        <f t="shared" si="24"/>
        <v>356430</v>
      </c>
      <c r="M46" s="117">
        <f t="shared" si="24"/>
        <v>356430</v>
      </c>
      <c r="N46" s="117">
        <f t="shared" si="24"/>
        <v>356430</v>
      </c>
      <c r="O46" s="145">
        <f t="shared" ref="O46:O47" si="26">SUM(B46:N46)</f>
        <v>4277160</v>
      </c>
      <c r="P46" s="100"/>
    </row>
    <row r="47" ht="12.75" customHeight="1">
      <c r="A47" s="146" t="s">
        <v>86</v>
      </c>
      <c r="B47" s="16"/>
      <c r="C47" s="147">
        <f t="shared" ref="C47:N47" si="25">SUM(C44:C46)</f>
        <v>487554.6327</v>
      </c>
      <c r="D47" s="147">
        <f t="shared" si="25"/>
        <v>487554.6327</v>
      </c>
      <c r="E47" s="147">
        <f t="shared" si="25"/>
        <v>487554.6327</v>
      </c>
      <c r="F47" s="147">
        <f t="shared" si="25"/>
        <v>487554.6327</v>
      </c>
      <c r="G47" s="147">
        <f t="shared" si="25"/>
        <v>487554.6327</v>
      </c>
      <c r="H47" s="147">
        <f t="shared" si="25"/>
        <v>487554.6327</v>
      </c>
      <c r="I47" s="147">
        <f t="shared" si="25"/>
        <v>487554.6327</v>
      </c>
      <c r="J47" s="147">
        <f t="shared" si="25"/>
        <v>487554.6327</v>
      </c>
      <c r="K47" s="147">
        <f t="shared" si="25"/>
        <v>487554.6327</v>
      </c>
      <c r="L47" s="147">
        <f t="shared" si="25"/>
        <v>487554.6327</v>
      </c>
      <c r="M47" s="147">
        <f t="shared" si="25"/>
        <v>487554.6327</v>
      </c>
      <c r="N47" s="147">
        <f t="shared" si="25"/>
        <v>487554.6327</v>
      </c>
      <c r="O47" s="145">
        <f t="shared" si="26"/>
        <v>5850655.593</v>
      </c>
      <c r="P47" s="100"/>
    </row>
    <row r="48" ht="12.75" customHeight="1">
      <c r="A48" s="148"/>
      <c r="B48" s="16"/>
      <c r="C48" s="149"/>
      <c r="D48" s="67"/>
      <c r="E48" s="67"/>
      <c r="F48" s="68"/>
      <c r="G48" s="68"/>
      <c r="H48" s="68"/>
      <c r="I48" s="68"/>
      <c r="J48" s="68"/>
      <c r="K48" s="145">
        <v>0.0</v>
      </c>
      <c r="L48" s="145">
        <v>0.0</v>
      </c>
      <c r="M48" s="145">
        <f>+M45*A48</f>
        <v>0</v>
      </c>
      <c r="N48" s="145"/>
      <c r="O48" s="145">
        <f t="shared" ref="O48:O49" si="27">SUM(C47:N48)</f>
        <v>5850655.593</v>
      </c>
      <c r="P48" s="100"/>
    </row>
    <row r="49" ht="12.75" customHeight="1">
      <c r="A49" s="146" t="s">
        <v>89</v>
      </c>
      <c r="B49" s="16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45">
        <f t="shared" si="27"/>
        <v>0</v>
      </c>
      <c r="P49" s="100"/>
    </row>
    <row r="50" ht="12.75" customHeight="1">
      <c r="A50" s="113" t="s">
        <v>90</v>
      </c>
      <c r="B50" s="113"/>
      <c r="C50" s="150">
        <f t="shared" ref="C50:N50" si="28">C35*1.09</f>
        <v>255441.5</v>
      </c>
      <c r="D50" s="150">
        <f t="shared" si="28"/>
        <v>255441.5</v>
      </c>
      <c r="E50" s="150">
        <f t="shared" si="28"/>
        <v>255441.5</v>
      </c>
      <c r="F50" s="150">
        <f t="shared" si="28"/>
        <v>255441.5</v>
      </c>
      <c r="G50" s="150">
        <f t="shared" si="28"/>
        <v>255441.5</v>
      </c>
      <c r="H50" s="150">
        <f t="shared" si="28"/>
        <v>255441.5</v>
      </c>
      <c r="I50" s="150">
        <f t="shared" si="28"/>
        <v>255441.5</v>
      </c>
      <c r="J50" s="150">
        <f t="shared" si="28"/>
        <v>255441.5</v>
      </c>
      <c r="K50" s="150">
        <f t="shared" si="28"/>
        <v>255441.5</v>
      </c>
      <c r="L50" s="150">
        <f t="shared" si="28"/>
        <v>255441.5</v>
      </c>
      <c r="M50" s="150">
        <f t="shared" si="28"/>
        <v>255441.5</v>
      </c>
      <c r="N50" s="150">
        <f t="shared" si="28"/>
        <v>255441.5</v>
      </c>
      <c r="O50" s="145">
        <f t="shared" ref="O50:O51" si="30">SUM(B50:N50)</f>
        <v>3065298</v>
      </c>
      <c r="P50" s="100"/>
    </row>
    <row r="51" ht="12.75" customHeight="1">
      <c r="A51" s="113" t="s">
        <v>91</v>
      </c>
      <c r="B51" s="113"/>
      <c r="C51" s="147">
        <f t="shared" ref="C51:N51" si="29">C36*1.09</f>
        <v>39827.41691</v>
      </c>
      <c r="D51" s="147">
        <f t="shared" si="29"/>
        <v>39827.41691</v>
      </c>
      <c r="E51" s="147">
        <f t="shared" si="29"/>
        <v>39827.41691</v>
      </c>
      <c r="F51" s="147">
        <f t="shared" si="29"/>
        <v>39827.41691</v>
      </c>
      <c r="G51" s="147">
        <f t="shared" si="29"/>
        <v>39827.41691</v>
      </c>
      <c r="H51" s="147">
        <f t="shared" si="29"/>
        <v>39827.41691</v>
      </c>
      <c r="I51" s="147">
        <f t="shared" si="29"/>
        <v>39827.41691</v>
      </c>
      <c r="J51" s="147">
        <f t="shared" si="29"/>
        <v>39827.41691</v>
      </c>
      <c r="K51" s="147">
        <f t="shared" si="29"/>
        <v>39827.41691</v>
      </c>
      <c r="L51" s="147">
        <f t="shared" si="29"/>
        <v>39827.41691</v>
      </c>
      <c r="M51" s="147">
        <f t="shared" si="29"/>
        <v>39827.41691</v>
      </c>
      <c r="N51" s="147">
        <f t="shared" si="29"/>
        <v>39827.41691</v>
      </c>
      <c r="O51" s="145">
        <f t="shared" si="30"/>
        <v>477929.003</v>
      </c>
      <c r="P51" s="100"/>
    </row>
    <row r="52" ht="12.75" customHeight="1">
      <c r="A52" s="113" t="s">
        <v>92</v>
      </c>
      <c r="B52" s="113"/>
      <c r="C52" s="134">
        <f t="shared" ref="C52:N52" si="31">C47-C50-C51</f>
        <v>192285.7158</v>
      </c>
      <c r="D52" s="134">
        <f t="shared" si="31"/>
        <v>192285.7158</v>
      </c>
      <c r="E52" s="134">
        <f t="shared" si="31"/>
        <v>192285.7158</v>
      </c>
      <c r="F52" s="134">
        <f t="shared" si="31"/>
        <v>192285.7158</v>
      </c>
      <c r="G52" s="134">
        <f t="shared" si="31"/>
        <v>192285.7158</v>
      </c>
      <c r="H52" s="134">
        <f t="shared" si="31"/>
        <v>192285.7158</v>
      </c>
      <c r="I52" s="134">
        <f t="shared" si="31"/>
        <v>192285.7158</v>
      </c>
      <c r="J52" s="134">
        <f t="shared" si="31"/>
        <v>192285.7158</v>
      </c>
      <c r="K52" s="134">
        <f t="shared" si="31"/>
        <v>192285.7158</v>
      </c>
      <c r="L52" s="134">
        <f t="shared" si="31"/>
        <v>192285.7158</v>
      </c>
      <c r="M52" s="134">
        <f t="shared" si="31"/>
        <v>192285.7158</v>
      </c>
      <c r="N52" s="134">
        <f t="shared" si="31"/>
        <v>192285.7158</v>
      </c>
      <c r="O52" s="145">
        <f>SUM(C52:N52)</f>
        <v>2307428.59</v>
      </c>
      <c r="P52" s="135" t="s">
        <v>93</v>
      </c>
    </row>
    <row r="53" ht="12.75" customHeight="1">
      <c r="A53" s="63" t="s">
        <v>94</v>
      </c>
      <c r="B53" s="136"/>
      <c r="C53" s="133">
        <f>+C52</f>
        <v>192285.7158</v>
      </c>
      <c r="D53" s="137">
        <f t="shared" ref="D53:N53" si="32">+D52+C53</f>
        <v>384571.4316</v>
      </c>
      <c r="E53" s="137">
        <f t="shared" si="32"/>
        <v>576857.1475</v>
      </c>
      <c r="F53" s="137">
        <f t="shared" si="32"/>
        <v>769142.8633</v>
      </c>
      <c r="G53" s="137">
        <f t="shared" si="32"/>
        <v>961428.5791</v>
      </c>
      <c r="H53" s="137">
        <f t="shared" si="32"/>
        <v>1153714.295</v>
      </c>
      <c r="I53" s="137">
        <f t="shared" si="32"/>
        <v>1346000.011</v>
      </c>
      <c r="J53" s="137">
        <f t="shared" si="32"/>
        <v>1538285.727</v>
      </c>
      <c r="K53" s="137">
        <f t="shared" si="32"/>
        <v>1730571.442</v>
      </c>
      <c r="L53" s="137">
        <f t="shared" si="32"/>
        <v>1922857.158</v>
      </c>
      <c r="M53" s="137">
        <f t="shared" si="32"/>
        <v>2115142.874</v>
      </c>
      <c r="N53" s="137">
        <f t="shared" si="32"/>
        <v>2307428.59</v>
      </c>
      <c r="O53" s="151">
        <f>+N53</f>
        <v>2307428.59</v>
      </c>
      <c r="P53" s="139">
        <f>O53*9</f>
        <v>20766857.31</v>
      </c>
    </row>
    <row r="54" ht="12.75" customHeight="1">
      <c r="A54" s="101"/>
      <c r="B54" s="101"/>
      <c r="C54" s="152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00"/>
    </row>
    <row r="55" ht="12.75" customHeight="1">
      <c r="A55" s="101"/>
      <c r="B55" s="101"/>
      <c r="C55" s="152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00"/>
    </row>
    <row r="56" ht="12.75" customHeight="1">
      <c r="A56" s="7" t="s">
        <v>95</v>
      </c>
      <c r="B56" s="5"/>
      <c r="C56" s="8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00"/>
    </row>
    <row r="57" ht="12.75" customHeight="1">
      <c r="A57" s="7"/>
      <c r="B57" s="5"/>
      <c r="C57" s="8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00"/>
    </row>
    <row r="58" ht="12.75" customHeight="1">
      <c r="A58" s="154" t="s">
        <v>98</v>
      </c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16"/>
      <c r="P58" s="100"/>
    </row>
    <row r="59" ht="12.75" customHeight="1">
      <c r="A59" s="105" t="s">
        <v>70</v>
      </c>
      <c r="B59" s="16"/>
      <c r="C59" s="106" t="s">
        <v>71</v>
      </c>
      <c r="D59" s="106" t="s">
        <v>72</v>
      </c>
      <c r="E59" s="106" t="s">
        <v>73</v>
      </c>
      <c r="F59" s="106" t="s">
        <v>74</v>
      </c>
      <c r="G59" s="106" t="s">
        <v>75</v>
      </c>
      <c r="H59" s="106" t="s">
        <v>76</v>
      </c>
      <c r="I59" s="106" t="s">
        <v>77</v>
      </c>
      <c r="J59" s="106" t="s">
        <v>78</v>
      </c>
      <c r="K59" s="106" t="s">
        <v>79</v>
      </c>
      <c r="L59" s="106" t="s">
        <v>80</v>
      </c>
      <c r="M59" s="106" t="s">
        <v>81</v>
      </c>
      <c r="N59" s="106" t="s">
        <v>82</v>
      </c>
      <c r="O59" s="106" t="s">
        <v>26</v>
      </c>
      <c r="P59" s="100"/>
    </row>
    <row r="60" ht="12.75" customHeight="1">
      <c r="A60" s="107" t="s">
        <v>83</v>
      </c>
      <c r="B60" s="108"/>
      <c r="C60" s="109">
        <f t="shared" ref="C60:N60" si="33">109506.214639*1.09</f>
        <v>119361.774</v>
      </c>
      <c r="D60" s="109">
        <f t="shared" si="33"/>
        <v>119361.774</v>
      </c>
      <c r="E60" s="109">
        <f t="shared" si="33"/>
        <v>119361.774</v>
      </c>
      <c r="F60" s="109">
        <f t="shared" si="33"/>
        <v>119361.774</v>
      </c>
      <c r="G60" s="109">
        <f t="shared" si="33"/>
        <v>119361.774</v>
      </c>
      <c r="H60" s="109">
        <f t="shared" si="33"/>
        <v>119361.774</v>
      </c>
      <c r="I60" s="109">
        <f t="shared" si="33"/>
        <v>119361.774</v>
      </c>
      <c r="J60" s="109">
        <f t="shared" si="33"/>
        <v>119361.774</v>
      </c>
      <c r="K60" s="109">
        <f t="shared" si="33"/>
        <v>119361.774</v>
      </c>
      <c r="L60" s="109">
        <f t="shared" si="33"/>
        <v>119361.774</v>
      </c>
      <c r="M60" s="109">
        <f t="shared" si="33"/>
        <v>119361.774</v>
      </c>
      <c r="N60" s="109">
        <f t="shared" si="33"/>
        <v>119361.774</v>
      </c>
      <c r="O60" s="125">
        <f t="shared" ref="O60:O61" si="35">SUM(C60:N60)</f>
        <v>1432341.287</v>
      </c>
      <c r="P60" s="100"/>
    </row>
    <row r="61" ht="12.75" customHeight="1">
      <c r="A61" s="142" t="s">
        <v>84</v>
      </c>
      <c r="B61" s="136"/>
      <c r="C61" s="143">
        <f t="shared" ref="C61:N61" si="34">21618.418099*1.09</f>
        <v>23564.07573</v>
      </c>
      <c r="D61" s="143">
        <f t="shared" si="34"/>
        <v>23564.07573</v>
      </c>
      <c r="E61" s="143">
        <f t="shared" si="34"/>
        <v>23564.07573</v>
      </c>
      <c r="F61" s="143">
        <f t="shared" si="34"/>
        <v>23564.07573</v>
      </c>
      <c r="G61" s="143">
        <f t="shared" si="34"/>
        <v>23564.07573</v>
      </c>
      <c r="H61" s="143">
        <f t="shared" si="34"/>
        <v>23564.07573</v>
      </c>
      <c r="I61" s="143">
        <f t="shared" si="34"/>
        <v>23564.07573</v>
      </c>
      <c r="J61" s="143">
        <f t="shared" si="34"/>
        <v>23564.07573</v>
      </c>
      <c r="K61" s="143">
        <f t="shared" si="34"/>
        <v>23564.07573</v>
      </c>
      <c r="L61" s="143">
        <f t="shared" si="34"/>
        <v>23564.07573</v>
      </c>
      <c r="M61" s="143">
        <f t="shared" si="34"/>
        <v>23564.07573</v>
      </c>
      <c r="N61" s="143">
        <f t="shared" si="34"/>
        <v>23564.07573</v>
      </c>
      <c r="O61" s="125">
        <f t="shared" si="35"/>
        <v>282768.9087</v>
      </c>
      <c r="P61" s="100"/>
    </row>
    <row r="62" ht="12.75" customHeight="1">
      <c r="A62" s="144" t="s">
        <v>85</v>
      </c>
      <c r="B62" s="16"/>
      <c r="C62" s="147">
        <f t="shared" ref="C62:N62" si="36">C46*1.09</f>
        <v>388508.7</v>
      </c>
      <c r="D62" s="147">
        <f t="shared" si="36"/>
        <v>388508.7</v>
      </c>
      <c r="E62" s="147">
        <f t="shared" si="36"/>
        <v>388508.7</v>
      </c>
      <c r="F62" s="147">
        <f t="shared" si="36"/>
        <v>388508.7</v>
      </c>
      <c r="G62" s="147">
        <f t="shared" si="36"/>
        <v>388508.7</v>
      </c>
      <c r="H62" s="147">
        <f t="shared" si="36"/>
        <v>388508.7</v>
      </c>
      <c r="I62" s="147">
        <f t="shared" si="36"/>
        <v>388508.7</v>
      </c>
      <c r="J62" s="147">
        <f t="shared" si="36"/>
        <v>388508.7</v>
      </c>
      <c r="K62" s="147">
        <f t="shared" si="36"/>
        <v>388508.7</v>
      </c>
      <c r="L62" s="147">
        <f t="shared" si="36"/>
        <v>388508.7</v>
      </c>
      <c r="M62" s="147">
        <f t="shared" si="36"/>
        <v>388508.7</v>
      </c>
      <c r="N62" s="147">
        <f t="shared" si="36"/>
        <v>388508.7</v>
      </c>
      <c r="O62" s="145">
        <f>SUM(B62:N62)</f>
        <v>4662104.4</v>
      </c>
      <c r="P62" s="100"/>
    </row>
    <row r="63" ht="12.75" customHeight="1">
      <c r="A63" s="118" t="s">
        <v>86</v>
      </c>
      <c r="B63" s="108"/>
      <c r="C63" s="119">
        <f>SUM(C60:C62)</f>
        <v>531434.5497</v>
      </c>
      <c r="D63" s="143">
        <f t="shared" ref="D63:N63" si="37">C63</f>
        <v>531434.5497</v>
      </c>
      <c r="E63" s="143">
        <f t="shared" si="37"/>
        <v>531434.5497</v>
      </c>
      <c r="F63" s="143">
        <f t="shared" si="37"/>
        <v>531434.5497</v>
      </c>
      <c r="G63" s="143">
        <f t="shared" si="37"/>
        <v>531434.5497</v>
      </c>
      <c r="H63" s="143">
        <f t="shared" si="37"/>
        <v>531434.5497</v>
      </c>
      <c r="I63" s="143">
        <f t="shared" si="37"/>
        <v>531434.5497</v>
      </c>
      <c r="J63" s="143">
        <f t="shared" si="37"/>
        <v>531434.5497</v>
      </c>
      <c r="K63" s="143">
        <f t="shared" si="37"/>
        <v>531434.5497</v>
      </c>
      <c r="L63" s="143">
        <f t="shared" si="37"/>
        <v>531434.5497</v>
      </c>
      <c r="M63" s="143">
        <f t="shared" si="37"/>
        <v>531434.5497</v>
      </c>
      <c r="N63" s="143">
        <f t="shared" si="37"/>
        <v>531434.5497</v>
      </c>
      <c r="O63" s="125">
        <f t="shared" ref="O63:O65" si="38">SUM(C63:N63)</f>
        <v>6377214.596</v>
      </c>
      <c r="P63" s="100"/>
    </row>
    <row r="64" ht="12.75" customHeight="1">
      <c r="A64" s="120"/>
      <c r="B64" s="121"/>
      <c r="C64" s="122"/>
      <c r="D64" s="123"/>
      <c r="E64" s="123"/>
      <c r="F64" s="66"/>
      <c r="G64" s="66"/>
      <c r="H64" s="66"/>
      <c r="I64" s="66"/>
      <c r="J64" s="66"/>
      <c r="K64" s="125">
        <v>0.0</v>
      </c>
      <c r="L64" s="125">
        <v>0.0</v>
      </c>
      <c r="M64" s="125">
        <f>+M61*A64</f>
        <v>0</v>
      </c>
      <c r="N64" s="125"/>
      <c r="O64" s="125">
        <f t="shared" si="38"/>
        <v>0</v>
      </c>
      <c r="P64" s="100"/>
    </row>
    <row r="65" ht="12.75" customHeight="1">
      <c r="A65" s="118" t="s">
        <v>89</v>
      </c>
      <c r="B65" s="126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5">
        <f t="shared" si="38"/>
        <v>0</v>
      </c>
      <c r="P65" s="100"/>
    </row>
    <row r="66" ht="12.75" customHeight="1">
      <c r="A66" s="129" t="s">
        <v>90</v>
      </c>
      <c r="B66" s="130"/>
      <c r="C66" s="127">
        <f t="shared" ref="C66:N66" si="39">C50*1.09</f>
        <v>278431.235</v>
      </c>
      <c r="D66" s="127">
        <f t="shared" si="39"/>
        <v>278431.235</v>
      </c>
      <c r="E66" s="127">
        <f t="shared" si="39"/>
        <v>278431.235</v>
      </c>
      <c r="F66" s="127">
        <f t="shared" si="39"/>
        <v>278431.235</v>
      </c>
      <c r="G66" s="127">
        <f t="shared" si="39"/>
        <v>278431.235</v>
      </c>
      <c r="H66" s="127">
        <f t="shared" si="39"/>
        <v>278431.235</v>
      </c>
      <c r="I66" s="127">
        <f t="shared" si="39"/>
        <v>278431.235</v>
      </c>
      <c r="J66" s="127">
        <f t="shared" si="39"/>
        <v>278431.235</v>
      </c>
      <c r="K66" s="127">
        <f t="shared" si="39"/>
        <v>278431.235</v>
      </c>
      <c r="L66" s="127">
        <f t="shared" si="39"/>
        <v>278431.235</v>
      </c>
      <c r="M66" s="127">
        <f t="shared" si="39"/>
        <v>278431.235</v>
      </c>
      <c r="N66" s="127">
        <f t="shared" si="39"/>
        <v>278431.235</v>
      </c>
      <c r="O66" s="145">
        <f>SUM(B66:N66)</f>
        <v>3341174.82</v>
      </c>
      <c r="P66" s="100"/>
    </row>
    <row r="67" ht="12.75" customHeight="1">
      <c r="A67" s="129" t="s">
        <v>91</v>
      </c>
      <c r="B67" s="130"/>
      <c r="C67" s="131">
        <f t="shared" ref="C67:N67" si="40">C51*1.09</f>
        <v>43411.88444</v>
      </c>
      <c r="D67" s="131">
        <f t="shared" si="40"/>
        <v>43411.88444</v>
      </c>
      <c r="E67" s="131">
        <f t="shared" si="40"/>
        <v>43411.88444</v>
      </c>
      <c r="F67" s="131">
        <f t="shared" si="40"/>
        <v>43411.88444</v>
      </c>
      <c r="G67" s="131">
        <f t="shared" si="40"/>
        <v>43411.88444</v>
      </c>
      <c r="H67" s="131">
        <f t="shared" si="40"/>
        <v>43411.88444</v>
      </c>
      <c r="I67" s="131">
        <f t="shared" si="40"/>
        <v>43411.88444</v>
      </c>
      <c r="J67" s="131">
        <f t="shared" si="40"/>
        <v>43411.88444</v>
      </c>
      <c r="K67" s="131">
        <f t="shared" si="40"/>
        <v>43411.88444</v>
      </c>
      <c r="L67" s="131">
        <f t="shared" si="40"/>
        <v>43411.88444</v>
      </c>
      <c r="M67" s="131">
        <f t="shared" si="40"/>
        <v>43411.88444</v>
      </c>
      <c r="N67" s="131">
        <f t="shared" si="40"/>
        <v>43411.88444</v>
      </c>
      <c r="O67" s="125">
        <f t="shared" ref="O67:O68" si="42">SUM(C67:N67)</f>
        <v>520942.6132</v>
      </c>
      <c r="P67" s="100"/>
    </row>
    <row r="68" ht="12.75" customHeight="1">
      <c r="A68" s="41" t="s">
        <v>92</v>
      </c>
      <c r="B68" s="132"/>
      <c r="C68" s="133">
        <f t="shared" ref="C68:N68" si="41">C63-C66-C67</f>
        <v>209591.4302</v>
      </c>
      <c r="D68" s="133">
        <f t="shared" si="41"/>
        <v>209591.4302</v>
      </c>
      <c r="E68" s="133">
        <f t="shared" si="41"/>
        <v>209591.4302</v>
      </c>
      <c r="F68" s="133">
        <f t="shared" si="41"/>
        <v>209591.4302</v>
      </c>
      <c r="G68" s="133">
        <f t="shared" si="41"/>
        <v>209591.4302</v>
      </c>
      <c r="H68" s="133">
        <f t="shared" si="41"/>
        <v>209591.4302</v>
      </c>
      <c r="I68" s="133">
        <f t="shared" si="41"/>
        <v>209591.4302</v>
      </c>
      <c r="J68" s="133">
        <f t="shared" si="41"/>
        <v>209591.4302</v>
      </c>
      <c r="K68" s="133">
        <f t="shared" si="41"/>
        <v>209591.4302</v>
      </c>
      <c r="L68" s="133">
        <f t="shared" si="41"/>
        <v>209591.4302</v>
      </c>
      <c r="M68" s="133">
        <f t="shared" si="41"/>
        <v>209591.4302</v>
      </c>
      <c r="N68" s="133">
        <f t="shared" si="41"/>
        <v>209591.4302</v>
      </c>
      <c r="O68" s="125">
        <f t="shared" si="42"/>
        <v>2515097.163</v>
      </c>
      <c r="P68" s="135" t="s">
        <v>93</v>
      </c>
    </row>
    <row r="69" ht="12.75" customHeight="1">
      <c r="A69" s="63" t="s">
        <v>94</v>
      </c>
      <c r="B69" s="136"/>
      <c r="C69" s="133">
        <f>+C68</f>
        <v>209591.4302</v>
      </c>
      <c r="D69" s="137">
        <f t="shared" ref="D69:N69" si="43">+D68+C69</f>
        <v>419182.8605</v>
      </c>
      <c r="E69" s="137">
        <f t="shared" si="43"/>
        <v>628774.2907</v>
      </c>
      <c r="F69" s="137">
        <f t="shared" si="43"/>
        <v>838365.721</v>
      </c>
      <c r="G69" s="137">
        <f t="shared" si="43"/>
        <v>1047957.151</v>
      </c>
      <c r="H69" s="137">
        <f t="shared" si="43"/>
        <v>1257548.581</v>
      </c>
      <c r="I69" s="137">
        <f t="shared" si="43"/>
        <v>1467140.012</v>
      </c>
      <c r="J69" s="137">
        <f t="shared" si="43"/>
        <v>1676731.442</v>
      </c>
      <c r="K69" s="137">
        <f t="shared" si="43"/>
        <v>1886322.872</v>
      </c>
      <c r="L69" s="137">
        <f t="shared" si="43"/>
        <v>2095914.302</v>
      </c>
      <c r="M69" s="137">
        <f t="shared" si="43"/>
        <v>2305505.733</v>
      </c>
      <c r="N69" s="137">
        <f t="shared" si="43"/>
        <v>2515097.163</v>
      </c>
      <c r="O69" s="138">
        <f>+N69</f>
        <v>2515097.163</v>
      </c>
      <c r="P69" s="139">
        <f>O69*9</f>
        <v>22635874.47</v>
      </c>
    </row>
    <row r="70" ht="12.75" customHeight="1">
      <c r="A70" s="101"/>
      <c r="B70" s="101"/>
      <c r="C70" s="152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00"/>
    </row>
    <row r="71" ht="12.75" customHeight="1">
      <c r="A71" s="101"/>
      <c r="B71" s="101"/>
      <c r="C71" s="152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00"/>
    </row>
    <row r="72" ht="12.75" customHeight="1">
      <c r="A72" s="7" t="s">
        <v>95</v>
      </c>
      <c r="B72" s="5"/>
      <c r="C72" s="8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00"/>
    </row>
    <row r="73" ht="12.75" customHeight="1">
      <c r="A73" s="7"/>
      <c r="B73" s="5"/>
      <c r="C73" s="8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00"/>
    </row>
    <row r="74" ht="12.75" customHeight="1">
      <c r="A74" s="154" t="s">
        <v>99</v>
      </c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16"/>
      <c r="P74" s="100"/>
    </row>
    <row r="75" ht="12.75" customHeight="1">
      <c r="A75" s="105" t="s">
        <v>70</v>
      </c>
      <c r="B75" s="16"/>
      <c r="C75" s="106" t="s">
        <v>71</v>
      </c>
      <c r="D75" s="106" t="s">
        <v>72</v>
      </c>
      <c r="E75" s="106" t="s">
        <v>73</v>
      </c>
      <c r="F75" s="106" t="s">
        <v>74</v>
      </c>
      <c r="G75" s="106" t="s">
        <v>75</v>
      </c>
      <c r="H75" s="106" t="s">
        <v>76</v>
      </c>
      <c r="I75" s="106" t="s">
        <v>77</v>
      </c>
      <c r="J75" s="106" t="s">
        <v>78</v>
      </c>
      <c r="K75" s="106" t="s">
        <v>79</v>
      </c>
      <c r="L75" s="106" t="s">
        <v>80</v>
      </c>
      <c r="M75" s="106" t="s">
        <v>81</v>
      </c>
      <c r="N75" s="106" t="s">
        <v>82</v>
      </c>
      <c r="O75" s="106" t="s">
        <v>26</v>
      </c>
      <c r="P75" s="100"/>
    </row>
    <row r="76" ht="12.75" customHeight="1">
      <c r="A76" s="107" t="s">
        <v>83</v>
      </c>
      <c r="B76" s="108"/>
      <c r="C76" s="109">
        <f t="shared" ref="C76:N76" si="44">119361.77395651*1.09</f>
        <v>130104.3336</v>
      </c>
      <c r="D76" s="109">
        <f t="shared" si="44"/>
        <v>130104.3336</v>
      </c>
      <c r="E76" s="109">
        <f t="shared" si="44"/>
        <v>130104.3336</v>
      </c>
      <c r="F76" s="109">
        <f t="shared" si="44"/>
        <v>130104.3336</v>
      </c>
      <c r="G76" s="109">
        <f t="shared" si="44"/>
        <v>130104.3336</v>
      </c>
      <c r="H76" s="109">
        <f t="shared" si="44"/>
        <v>130104.3336</v>
      </c>
      <c r="I76" s="109">
        <f t="shared" si="44"/>
        <v>130104.3336</v>
      </c>
      <c r="J76" s="109">
        <f t="shared" si="44"/>
        <v>130104.3336</v>
      </c>
      <c r="K76" s="109">
        <f t="shared" si="44"/>
        <v>130104.3336</v>
      </c>
      <c r="L76" s="109">
        <f t="shared" si="44"/>
        <v>130104.3336</v>
      </c>
      <c r="M76" s="109">
        <f t="shared" si="44"/>
        <v>130104.3336</v>
      </c>
      <c r="N76" s="109">
        <f t="shared" si="44"/>
        <v>130104.3336</v>
      </c>
      <c r="O76" s="125">
        <f t="shared" ref="O76:O81" si="46">SUM(C76:N76)</f>
        <v>1561252.003</v>
      </c>
      <c r="P76" s="100"/>
    </row>
    <row r="77" ht="12.75" customHeight="1">
      <c r="A77" s="142" t="s">
        <v>84</v>
      </c>
      <c r="B77" s="136"/>
      <c r="C77" s="143">
        <f t="shared" ref="C77:N77" si="45">23564.07572791*1.09</f>
        <v>25684.84254</v>
      </c>
      <c r="D77" s="143">
        <f t="shared" si="45"/>
        <v>25684.84254</v>
      </c>
      <c r="E77" s="143">
        <f t="shared" si="45"/>
        <v>25684.84254</v>
      </c>
      <c r="F77" s="143">
        <f t="shared" si="45"/>
        <v>25684.84254</v>
      </c>
      <c r="G77" s="143">
        <f t="shared" si="45"/>
        <v>25684.84254</v>
      </c>
      <c r="H77" s="143">
        <f t="shared" si="45"/>
        <v>25684.84254</v>
      </c>
      <c r="I77" s="143">
        <f t="shared" si="45"/>
        <v>25684.84254</v>
      </c>
      <c r="J77" s="143">
        <f t="shared" si="45"/>
        <v>25684.84254</v>
      </c>
      <c r="K77" s="143">
        <f t="shared" si="45"/>
        <v>25684.84254</v>
      </c>
      <c r="L77" s="143">
        <f t="shared" si="45"/>
        <v>25684.84254</v>
      </c>
      <c r="M77" s="143">
        <f t="shared" si="45"/>
        <v>25684.84254</v>
      </c>
      <c r="N77" s="143">
        <f t="shared" si="45"/>
        <v>25684.84254</v>
      </c>
      <c r="O77" s="125">
        <f t="shared" si="46"/>
        <v>308218.1105</v>
      </c>
      <c r="P77" s="100"/>
    </row>
    <row r="78" ht="12.75" customHeight="1">
      <c r="A78" s="144" t="s">
        <v>85</v>
      </c>
      <c r="B78" s="16"/>
      <c r="C78" s="156">
        <f t="shared" ref="C78:N78" si="47">C62*1.09</f>
        <v>423474.483</v>
      </c>
      <c r="D78" s="156">
        <f t="shared" si="47"/>
        <v>423474.483</v>
      </c>
      <c r="E78" s="156">
        <f t="shared" si="47"/>
        <v>423474.483</v>
      </c>
      <c r="F78" s="156">
        <f t="shared" si="47"/>
        <v>423474.483</v>
      </c>
      <c r="G78" s="156">
        <f t="shared" si="47"/>
        <v>423474.483</v>
      </c>
      <c r="H78" s="156">
        <f t="shared" si="47"/>
        <v>423474.483</v>
      </c>
      <c r="I78" s="156">
        <f t="shared" si="47"/>
        <v>423474.483</v>
      </c>
      <c r="J78" s="156">
        <f t="shared" si="47"/>
        <v>423474.483</v>
      </c>
      <c r="K78" s="156">
        <f t="shared" si="47"/>
        <v>423474.483</v>
      </c>
      <c r="L78" s="156">
        <f t="shared" si="47"/>
        <v>423474.483</v>
      </c>
      <c r="M78" s="156">
        <f t="shared" si="47"/>
        <v>423474.483</v>
      </c>
      <c r="N78" s="156">
        <f t="shared" si="47"/>
        <v>423474.483</v>
      </c>
      <c r="O78" s="125">
        <f t="shared" si="46"/>
        <v>5081693.796</v>
      </c>
      <c r="P78" s="100"/>
    </row>
    <row r="79" ht="12.75" customHeight="1">
      <c r="A79" s="118" t="s">
        <v>86</v>
      </c>
      <c r="B79" s="108"/>
      <c r="C79" s="119">
        <f>SUM(C76:C78)</f>
        <v>579263.6592</v>
      </c>
      <c r="D79" s="143">
        <f t="shared" ref="D79:N79" si="48">C79</f>
        <v>579263.6592</v>
      </c>
      <c r="E79" s="143">
        <f t="shared" si="48"/>
        <v>579263.6592</v>
      </c>
      <c r="F79" s="143">
        <f t="shared" si="48"/>
        <v>579263.6592</v>
      </c>
      <c r="G79" s="143">
        <f t="shared" si="48"/>
        <v>579263.6592</v>
      </c>
      <c r="H79" s="143">
        <f t="shared" si="48"/>
        <v>579263.6592</v>
      </c>
      <c r="I79" s="143">
        <f t="shared" si="48"/>
        <v>579263.6592</v>
      </c>
      <c r="J79" s="143">
        <f t="shared" si="48"/>
        <v>579263.6592</v>
      </c>
      <c r="K79" s="143">
        <f t="shared" si="48"/>
        <v>579263.6592</v>
      </c>
      <c r="L79" s="143">
        <f t="shared" si="48"/>
        <v>579263.6592</v>
      </c>
      <c r="M79" s="143">
        <f t="shared" si="48"/>
        <v>579263.6592</v>
      </c>
      <c r="N79" s="143">
        <f t="shared" si="48"/>
        <v>579263.6592</v>
      </c>
      <c r="O79" s="125">
        <f t="shared" si="46"/>
        <v>6951163.91</v>
      </c>
      <c r="P79" s="100"/>
    </row>
    <row r="80" ht="12.75" customHeight="1">
      <c r="A80" s="120"/>
      <c r="B80" s="121"/>
      <c r="C80" s="122"/>
      <c r="D80" s="123"/>
      <c r="E80" s="123"/>
      <c r="F80" s="66"/>
      <c r="G80" s="66"/>
      <c r="H80" s="66"/>
      <c r="I80" s="66"/>
      <c r="J80" s="66"/>
      <c r="K80" s="125">
        <v>0.0</v>
      </c>
      <c r="L80" s="125">
        <v>0.0</v>
      </c>
      <c r="M80" s="125">
        <f>+M77*A80</f>
        <v>0</v>
      </c>
      <c r="N80" s="125"/>
      <c r="O80" s="125">
        <f t="shared" si="46"/>
        <v>0</v>
      </c>
      <c r="P80" s="100"/>
    </row>
    <row r="81" ht="12.75" customHeight="1">
      <c r="A81" s="118" t="s">
        <v>89</v>
      </c>
      <c r="B81" s="126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5">
        <f t="shared" si="46"/>
        <v>0</v>
      </c>
      <c r="P81" s="100"/>
    </row>
    <row r="82" ht="12.75" customHeight="1">
      <c r="A82" s="129" t="s">
        <v>90</v>
      </c>
      <c r="B82" s="130"/>
      <c r="C82" s="127">
        <f t="shared" ref="C82:N82" si="49">C66*1.09</f>
        <v>303490.0462</v>
      </c>
      <c r="D82" s="127">
        <f t="shared" si="49"/>
        <v>303490.0462</v>
      </c>
      <c r="E82" s="127">
        <f t="shared" si="49"/>
        <v>303490.0462</v>
      </c>
      <c r="F82" s="127">
        <f t="shared" si="49"/>
        <v>303490.0462</v>
      </c>
      <c r="G82" s="127">
        <f t="shared" si="49"/>
        <v>303490.0462</v>
      </c>
      <c r="H82" s="127">
        <f t="shared" si="49"/>
        <v>303490.0462</v>
      </c>
      <c r="I82" s="127">
        <f t="shared" si="49"/>
        <v>303490.0462</v>
      </c>
      <c r="J82" s="127">
        <f t="shared" si="49"/>
        <v>303490.0462</v>
      </c>
      <c r="K82" s="127">
        <f t="shared" si="49"/>
        <v>303490.0462</v>
      </c>
      <c r="L82" s="127">
        <f t="shared" si="49"/>
        <v>303490.0462</v>
      </c>
      <c r="M82" s="127">
        <f t="shared" si="49"/>
        <v>303490.0462</v>
      </c>
      <c r="N82" s="127">
        <f t="shared" si="49"/>
        <v>303490.0462</v>
      </c>
      <c r="O82" s="125">
        <f>SUM(B82:N82)</f>
        <v>3641880.554</v>
      </c>
      <c r="P82" s="100"/>
    </row>
    <row r="83" ht="12.75" customHeight="1">
      <c r="A83" s="129" t="s">
        <v>91</v>
      </c>
      <c r="B83" s="130"/>
      <c r="C83" s="131">
        <f t="shared" ref="C83:N83" si="50">C67*1.09</f>
        <v>47318.95404</v>
      </c>
      <c r="D83" s="131">
        <f t="shared" si="50"/>
        <v>47318.95404</v>
      </c>
      <c r="E83" s="131">
        <f t="shared" si="50"/>
        <v>47318.95404</v>
      </c>
      <c r="F83" s="131">
        <f t="shared" si="50"/>
        <v>47318.95404</v>
      </c>
      <c r="G83" s="131">
        <f t="shared" si="50"/>
        <v>47318.95404</v>
      </c>
      <c r="H83" s="131">
        <f t="shared" si="50"/>
        <v>47318.95404</v>
      </c>
      <c r="I83" s="131">
        <f t="shared" si="50"/>
        <v>47318.95404</v>
      </c>
      <c r="J83" s="131">
        <f t="shared" si="50"/>
        <v>47318.95404</v>
      </c>
      <c r="K83" s="131">
        <f t="shared" si="50"/>
        <v>47318.95404</v>
      </c>
      <c r="L83" s="131">
        <f t="shared" si="50"/>
        <v>47318.95404</v>
      </c>
      <c r="M83" s="131">
        <f t="shared" si="50"/>
        <v>47318.95404</v>
      </c>
      <c r="N83" s="131">
        <f t="shared" si="50"/>
        <v>47318.95404</v>
      </c>
      <c r="O83" s="125">
        <f t="shared" ref="O83:O84" si="52">SUM(C83:N83)</f>
        <v>567827.4484</v>
      </c>
      <c r="P83" s="100"/>
    </row>
    <row r="84" ht="12.75" customHeight="1">
      <c r="A84" s="41" t="s">
        <v>92</v>
      </c>
      <c r="B84" s="132"/>
      <c r="C84" s="133">
        <f t="shared" ref="C84:N84" si="51">C79-C82-C83</f>
        <v>228454.659</v>
      </c>
      <c r="D84" s="133">
        <f t="shared" si="51"/>
        <v>228454.659</v>
      </c>
      <c r="E84" s="133">
        <f t="shared" si="51"/>
        <v>228454.659</v>
      </c>
      <c r="F84" s="133">
        <f t="shared" si="51"/>
        <v>228454.659</v>
      </c>
      <c r="G84" s="133">
        <f t="shared" si="51"/>
        <v>228454.659</v>
      </c>
      <c r="H84" s="133">
        <f t="shared" si="51"/>
        <v>228454.659</v>
      </c>
      <c r="I84" s="133">
        <f t="shared" si="51"/>
        <v>228454.659</v>
      </c>
      <c r="J84" s="133">
        <f t="shared" si="51"/>
        <v>228454.659</v>
      </c>
      <c r="K84" s="133">
        <f t="shared" si="51"/>
        <v>228454.659</v>
      </c>
      <c r="L84" s="133">
        <f t="shared" si="51"/>
        <v>228454.659</v>
      </c>
      <c r="M84" s="133">
        <f t="shared" si="51"/>
        <v>228454.659</v>
      </c>
      <c r="N84" s="133">
        <f t="shared" si="51"/>
        <v>228454.659</v>
      </c>
      <c r="O84" s="125">
        <f t="shared" si="52"/>
        <v>2741455.908</v>
      </c>
      <c r="P84" s="135" t="s">
        <v>93</v>
      </c>
    </row>
    <row r="85" ht="12.75" customHeight="1">
      <c r="A85" s="63" t="s">
        <v>94</v>
      </c>
      <c r="B85" s="136"/>
      <c r="C85" s="133">
        <f>+C84</f>
        <v>228454.659</v>
      </c>
      <c r="D85" s="137">
        <f t="shared" ref="D85:N85" si="53">+D84+C85</f>
        <v>456909.3179</v>
      </c>
      <c r="E85" s="137">
        <f t="shared" si="53"/>
        <v>685363.9769</v>
      </c>
      <c r="F85" s="137">
        <f t="shared" si="53"/>
        <v>913818.6359</v>
      </c>
      <c r="G85" s="137">
        <f t="shared" si="53"/>
        <v>1142273.295</v>
      </c>
      <c r="H85" s="137">
        <f t="shared" si="53"/>
        <v>1370727.954</v>
      </c>
      <c r="I85" s="137">
        <f t="shared" si="53"/>
        <v>1599182.613</v>
      </c>
      <c r="J85" s="137">
        <f t="shared" si="53"/>
        <v>1827637.272</v>
      </c>
      <c r="K85" s="137">
        <f t="shared" si="53"/>
        <v>2056091.931</v>
      </c>
      <c r="L85" s="137">
        <f t="shared" si="53"/>
        <v>2284546.59</v>
      </c>
      <c r="M85" s="137">
        <f t="shared" si="53"/>
        <v>2513001.249</v>
      </c>
      <c r="N85" s="137">
        <f t="shared" si="53"/>
        <v>2741455.908</v>
      </c>
      <c r="O85" s="138">
        <f>+N85</f>
        <v>2741455.908</v>
      </c>
      <c r="P85" s="139">
        <f>O85*9</f>
        <v>24673103.17</v>
      </c>
    </row>
    <row r="86" ht="12.75" customHeight="1">
      <c r="A86" s="101"/>
      <c r="B86" s="101"/>
      <c r="C86" s="152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00"/>
    </row>
    <row r="87" ht="12.75" customHeight="1">
      <c r="A87" s="101"/>
      <c r="B87" s="101"/>
      <c r="C87" s="152"/>
      <c r="D87" s="153"/>
      <c r="E87" s="153"/>
      <c r="F87" s="153"/>
      <c r="G87" s="153"/>
      <c r="H87" s="153"/>
      <c r="I87" s="153"/>
      <c r="J87" s="153"/>
      <c r="K87" s="153"/>
      <c r="L87" s="153"/>
      <c r="M87" s="153"/>
      <c r="N87" s="153"/>
      <c r="O87" s="153"/>
      <c r="P87" s="100"/>
    </row>
    <row r="88" ht="12.75" customHeight="1">
      <c r="A88" s="101"/>
      <c r="B88" s="101"/>
      <c r="C88" s="152"/>
      <c r="D88" s="153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100"/>
    </row>
    <row r="89" ht="12.75" customHeight="1">
      <c r="A89" s="157" t="s">
        <v>100</v>
      </c>
      <c r="B89" s="158"/>
      <c r="C89" s="158"/>
      <c r="D89" s="158"/>
      <c r="E89" s="158"/>
      <c r="F89" s="158"/>
      <c r="G89" s="153"/>
      <c r="H89" s="153"/>
      <c r="I89" s="153"/>
      <c r="J89" s="153"/>
      <c r="K89" s="153"/>
      <c r="L89" s="153"/>
      <c r="M89" s="153"/>
      <c r="N89" s="153"/>
      <c r="O89" s="153"/>
      <c r="P89" s="100"/>
    </row>
    <row r="90" ht="12.75" customHeight="1">
      <c r="A90" s="158"/>
      <c r="B90" s="158"/>
      <c r="C90" s="158"/>
      <c r="D90" s="158"/>
      <c r="E90" s="158"/>
      <c r="F90" s="159"/>
      <c r="G90" s="153"/>
      <c r="H90" s="153"/>
      <c r="I90" s="153"/>
      <c r="J90" s="153"/>
      <c r="K90" s="153"/>
      <c r="L90" s="153"/>
      <c r="M90" s="153"/>
      <c r="N90" s="153"/>
      <c r="O90" s="153"/>
      <c r="P90" s="100"/>
    </row>
    <row r="91" ht="12.75" customHeight="1">
      <c r="A91" s="160" t="s">
        <v>60</v>
      </c>
      <c r="B91" s="161" t="s">
        <v>101</v>
      </c>
      <c r="C91" s="161" t="s">
        <v>102</v>
      </c>
      <c r="D91" s="161" t="s">
        <v>103</v>
      </c>
      <c r="E91" s="161" t="s">
        <v>104</v>
      </c>
      <c r="F91" s="161" t="s">
        <v>105</v>
      </c>
      <c r="G91" s="153"/>
      <c r="H91" s="153"/>
      <c r="I91" s="153"/>
      <c r="J91" s="153"/>
      <c r="K91" s="153"/>
      <c r="L91" s="153"/>
      <c r="M91" s="153"/>
      <c r="N91" s="153"/>
      <c r="O91" s="153"/>
      <c r="P91" s="100"/>
    </row>
    <row r="92" ht="12.75" customHeight="1">
      <c r="A92" s="162" t="s">
        <v>106</v>
      </c>
      <c r="B92" s="163">
        <f>O15</f>
        <v>4999704.191</v>
      </c>
      <c r="C92" s="164">
        <f>O32</f>
        <v>5367573.938</v>
      </c>
      <c r="D92" s="164">
        <f>O47</f>
        <v>5850655.593</v>
      </c>
      <c r="E92" s="164">
        <f>O63</f>
        <v>6377214.596</v>
      </c>
      <c r="F92" s="164">
        <f>O79</f>
        <v>6951163.91</v>
      </c>
      <c r="G92" s="153"/>
      <c r="H92" s="153"/>
      <c r="I92" s="153"/>
      <c r="J92" s="153"/>
      <c r="K92" s="153"/>
      <c r="L92" s="153"/>
      <c r="M92" s="153"/>
      <c r="N92" s="153"/>
      <c r="O92" s="153"/>
      <c r="P92" s="100"/>
    </row>
    <row r="93" ht="12.75" customHeight="1">
      <c r="A93" s="162" t="s">
        <v>107</v>
      </c>
      <c r="B93" s="163">
        <f>O18+O19</f>
        <v>2989263.28</v>
      </c>
      <c r="C93" s="164">
        <f>O35+O36</f>
        <v>3250666.975</v>
      </c>
      <c r="D93" s="164">
        <f>O50+O51</f>
        <v>3543227.003</v>
      </c>
      <c r="E93" s="164">
        <f>O66+O67</f>
        <v>3862117.433</v>
      </c>
      <c r="F93" s="164">
        <f>O82+O83</f>
        <v>4209708.002</v>
      </c>
      <c r="G93" s="153"/>
      <c r="H93" s="153"/>
      <c r="I93" s="153"/>
      <c r="J93" s="153"/>
      <c r="K93" s="153"/>
      <c r="L93" s="153"/>
      <c r="M93" s="153"/>
      <c r="N93" s="153"/>
      <c r="O93" s="153"/>
      <c r="P93" s="100"/>
    </row>
    <row r="94" ht="12.75" customHeight="1">
      <c r="A94" s="162" t="s">
        <v>26</v>
      </c>
      <c r="B94" s="165">
        <f t="shared" ref="B94:F94" si="54">+B92-B93</f>
        <v>2010440.911</v>
      </c>
      <c r="C94" s="165">
        <f t="shared" si="54"/>
        <v>2116906.963</v>
      </c>
      <c r="D94" s="165">
        <f t="shared" si="54"/>
        <v>2307428.59</v>
      </c>
      <c r="E94" s="165">
        <f t="shared" si="54"/>
        <v>2515097.163</v>
      </c>
      <c r="F94" s="165">
        <f t="shared" si="54"/>
        <v>2741455.908</v>
      </c>
      <c r="G94" s="153"/>
      <c r="H94" s="153"/>
      <c r="I94" s="153"/>
      <c r="J94" s="153"/>
      <c r="K94" s="153"/>
      <c r="L94" s="153"/>
      <c r="M94" s="153"/>
      <c r="N94" s="153"/>
      <c r="O94" s="153"/>
      <c r="P94" s="100"/>
    </row>
    <row r="95" ht="12.75" customHeight="1">
      <c r="A95" s="166" t="s">
        <v>93</v>
      </c>
      <c r="B95" s="167">
        <f t="shared" ref="B95:F95" si="55">B94*9</f>
        <v>18093968.2</v>
      </c>
      <c r="C95" s="167">
        <f t="shared" si="55"/>
        <v>19052162.67</v>
      </c>
      <c r="D95" s="167">
        <f t="shared" si="55"/>
        <v>20766857.31</v>
      </c>
      <c r="E95" s="167">
        <f t="shared" si="55"/>
        <v>22635874.47</v>
      </c>
      <c r="F95" s="167">
        <f t="shared" si="55"/>
        <v>24673103.17</v>
      </c>
      <c r="G95" s="153"/>
      <c r="H95" s="153"/>
      <c r="I95" s="153"/>
      <c r="J95" s="153"/>
      <c r="K95" s="153"/>
      <c r="L95" s="153"/>
      <c r="M95" s="153"/>
      <c r="N95" s="153"/>
      <c r="O95" s="153"/>
      <c r="P95" s="100"/>
    </row>
    <row r="96" ht="12.75" customHeight="1">
      <c r="A96" s="101"/>
      <c r="B96" s="101"/>
      <c r="C96" s="152"/>
      <c r="D96" s="153"/>
      <c r="E96" s="153"/>
      <c r="F96" s="153"/>
      <c r="G96" s="153"/>
      <c r="H96" s="153"/>
      <c r="I96" s="153"/>
      <c r="J96" s="153"/>
      <c r="K96" s="153"/>
      <c r="L96" s="153"/>
      <c r="M96" s="153"/>
      <c r="N96" s="153"/>
      <c r="O96" s="153"/>
      <c r="P96" s="100"/>
    </row>
    <row r="97" ht="12.75" customHeight="1">
      <c r="A97" s="101"/>
      <c r="B97" s="101"/>
      <c r="C97" s="152"/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153"/>
      <c r="O97" s="153"/>
      <c r="P97" s="100"/>
    </row>
    <row r="98" ht="12.75" customHeight="1">
      <c r="A98" s="101"/>
      <c r="B98" s="101"/>
      <c r="C98" s="152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100"/>
    </row>
    <row r="99" ht="12.75" customHeight="1">
      <c r="A99" s="101"/>
      <c r="B99" s="101"/>
      <c r="C99" s="152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00"/>
    </row>
    <row r="100" ht="12.75" customHeight="1">
      <c r="A100" s="101"/>
      <c r="B100" s="101"/>
      <c r="C100" s="152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00"/>
    </row>
    <row r="101" ht="12.75" customHeight="1">
      <c r="A101" s="101"/>
      <c r="B101" s="101"/>
      <c r="C101" s="152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00"/>
    </row>
    <row r="102" ht="12.75" customHeight="1">
      <c r="A102" s="101"/>
      <c r="B102" s="101"/>
      <c r="C102" s="152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00"/>
    </row>
    <row r="103" ht="12.75" customHeight="1">
      <c r="A103" s="101"/>
      <c r="B103" s="101"/>
      <c r="C103" s="152"/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100"/>
    </row>
    <row r="104" ht="12.75" customHeight="1">
      <c r="A104" s="101"/>
      <c r="B104" s="101"/>
      <c r="C104" s="152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00"/>
    </row>
    <row r="105" ht="12.75" customHeight="1">
      <c r="A105" s="101"/>
      <c r="B105" s="101"/>
      <c r="C105" s="152"/>
      <c r="D105" s="153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00"/>
    </row>
    <row r="106" ht="18.0" customHeight="1">
      <c r="G106" s="102"/>
      <c r="H106" s="102"/>
      <c r="I106" s="102"/>
      <c r="J106" s="102"/>
      <c r="K106" s="102"/>
      <c r="L106" s="102"/>
      <c r="M106" s="102"/>
      <c r="N106" s="102"/>
      <c r="O106" s="102"/>
      <c r="P106" s="100"/>
    </row>
    <row r="107" ht="14.25" customHeight="1">
      <c r="G107" s="159"/>
      <c r="H107" s="159"/>
      <c r="I107" s="159"/>
      <c r="J107" s="159"/>
      <c r="K107" s="159"/>
      <c r="L107" s="159"/>
      <c r="M107" s="159"/>
      <c r="N107" s="159"/>
      <c r="O107" s="159"/>
      <c r="P107" s="100"/>
    </row>
    <row r="108" ht="15.75" customHeight="1">
      <c r="G108" s="159"/>
      <c r="H108" s="159"/>
      <c r="I108" s="159"/>
      <c r="J108" s="159"/>
      <c r="K108" s="159"/>
      <c r="L108" s="159"/>
      <c r="M108" s="159"/>
      <c r="N108" s="159"/>
      <c r="O108" s="159"/>
      <c r="P108" s="100"/>
    </row>
    <row r="109" ht="15.75" customHeight="1">
      <c r="G109" s="159"/>
      <c r="H109" s="159"/>
      <c r="I109" s="159"/>
      <c r="J109" s="159"/>
      <c r="K109" s="159"/>
      <c r="L109" s="159"/>
      <c r="M109" s="159"/>
      <c r="N109" s="159"/>
      <c r="O109" s="159"/>
      <c r="P109" s="100"/>
    </row>
    <row r="110" ht="15.75" customHeight="1">
      <c r="G110" s="159"/>
      <c r="H110" s="159"/>
      <c r="I110" s="159"/>
      <c r="J110" s="159"/>
      <c r="K110" s="159"/>
      <c r="L110" s="159"/>
      <c r="M110" s="159"/>
      <c r="N110" s="159"/>
      <c r="O110" s="159"/>
      <c r="P110" s="100"/>
    </row>
    <row r="111" ht="15.75" customHeight="1">
      <c r="G111" s="159"/>
      <c r="H111" s="159"/>
      <c r="I111" s="159"/>
      <c r="J111" s="159"/>
      <c r="K111" s="159"/>
      <c r="L111" s="159"/>
      <c r="M111" s="159"/>
      <c r="N111" s="159"/>
      <c r="O111" s="159"/>
      <c r="P111" s="100"/>
    </row>
    <row r="112" ht="14.25" customHeight="1">
      <c r="A112" s="168"/>
      <c r="B112" s="158"/>
      <c r="C112" s="158"/>
      <c r="D112" s="158"/>
      <c r="E112" s="158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00"/>
    </row>
    <row r="113" ht="14.25" customHeight="1">
      <c r="A113" s="158"/>
      <c r="B113" s="158"/>
      <c r="C113" s="158"/>
      <c r="D113" s="158"/>
      <c r="E113" s="158"/>
      <c r="F113" s="158"/>
      <c r="G113" s="159"/>
      <c r="H113" s="159"/>
      <c r="I113" s="159"/>
      <c r="J113" s="159"/>
      <c r="K113" s="159"/>
      <c r="L113" s="159"/>
      <c r="M113" s="159"/>
      <c r="N113" s="159"/>
      <c r="O113" s="159"/>
      <c r="P113" s="100"/>
    </row>
    <row r="114" ht="12.75" customHeight="1">
      <c r="A114" s="159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00"/>
    </row>
    <row r="115" ht="12.75" customHeight="1">
      <c r="A115" s="159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00"/>
    </row>
    <row r="116" ht="12.75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00"/>
    </row>
    <row r="117" ht="12.75" customHeight="1">
      <c r="A117" s="159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00"/>
    </row>
    <row r="118" ht="12.75" customHeight="1">
      <c r="A118" s="159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00"/>
    </row>
    <row r="119" ht="12.75" customHeight="1">
      <c r="A119" s="159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00"/>
    </row>
    <row r="120" ht="12.75" customHeight="1">
      <c r="A120" s="159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00"/>
    </row>
    <row r="121" ht="12.75" customHeight="1">
      <c r="A121" s="15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00"/>
    </row>
    <row r="122" ht="12.75" customHeight="1">
      <c r="A122" s="15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00"/>
    </row>
    <row r="123" ht="12.75" customHeight="1">
      <c r="A123" s="15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00"/>
    </row>
    <row r="124" ht="12.75" customHeight="1">
      <c r="A124" s="159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00"/>
    </row>
    <row r="125" ht="12.75" customHeight="1">
      <c r="A125" s="159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00"/>
    </row>
    <row r="126" ht="12.75" customHeight="1">
      <c r="A126" s="159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80"/>
    </row>
    <row r="127" ht="12.75" customHeight="1">
      <c r="A127" s="159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80"/>
    </row>
    <row r="128" ht="12.75" customHeight="1">
      <c r="A128" s="159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00"/>
    </row>
    <row r="129" ht="12.75" customHeight="1">
      <c r="P129" s="80"/>
    </row>
    <row r="130" ht="12.75" customHeight="1">
      <c r="P130" s="100"/>
    </row>
    <row r="131" ht="12.75" customHeight="1">
      <c r="P131" s="100"/>
    </row>
    <row r="132" ht="12.75" customHeight="1">
      <c r="P132" s="100"/>
    </row>
    <row r="133" ht="12.75" customHeight="1">
      <c r="P133" s="100"/>
    </row>
    <row r="134" ht="12.75" customHeight="1">
      <c r="P134" s="100"/>
    </row>
    <row r="135" ht="12.75" customHeight="1">
      <c r="P135" s="100"/>
    </row>
    <row r="136" ht="12.75" customHeight="1">
      <c r="P136" s="100"/>
    </row>
    <row r="137" ht="12.75" customHeight="1">
      <c r="P137" s="100"/>
    </row>
    <row r="138" ht="12.75" customHeight="1">
      <c r="P138" s="100"/>
    </row>
    <row r="139" ht="12.75" customHeight="1">
      <c r="P139" s="100"/>
    </row>
    <row r="140" ht="12.75" customHeight="1">
      <c r="P140" s="100"/>
    </row>
    <row r="141" ht="12.75" customHeight="1">
      <c r="P141" s="100"/>
    </row>
    <row r="142" ht="12.75" customHeight="1">
      <c r="P142" s="100"/>
    </row>
    <row r="143" ht="12.75" customHeight="1">
      <c r="P143" s="100"/>
    </row>
    <row r="144" ht="12.75" customHeight="1">
      <c r="P144" s="100"/>
    </row>
    <row r="145" ht="12.75" customHeight="1">
      <c r="P145" s="100"/>
    </row>
    <row r="146" ht="12.75" customHeight="1">
      <c r="P146" s="100"/>
    </row>
    <row r="147" ht="12.75" customHeight="1">
      <c r="P147" s="100"/>
    </row>
    <row r="148" ht="12.75" customHeight="1">
      <c r="P148" s="100"/>
    </row>
    <row r="149" ht="12.75" customHeight="1">
      <c r="P149" s="100"/>
    </row>
    <row r="150" ht="12.75" customHeight="1">
      <c r="P150" s="100"/>
    </row>
    <row r="151" ht="12.75" customHeight="1">
      <c r="P151" s="100"/>
    </row>
    <row r="152" ht="12.75" customHeight="1">
      <c r="P152" s="100"/>
    </row>
    <row r="153" ht="12.75" customHeight="1">
      <c r="P153" s="100"/>
    </row>
    <row r="154" ht="12.75" customHeight="1">
      <c r="P154" s="100"/>
    </row>
    <row r="155" ht="12.75" customHeight="1">
      <c r="P155" s="100"/>
    </row>
    <row r="156" ht="12.75" customHeight="1">
      <c r="P156" s="100"/>
    </row>
    <row r="157" ht="12.75" customHeight="1">
      <c r="P157" s="100"/>
    </row>
    <row r="158" ht="12.75" customHeight="1">
      <c r="P158" s="100"/>
    </row>
    <row r="159" ht="12.75" customHeight="1">
      <c r="P159" s="100"/>
    </row>
    <row r="160" ht="12.75" customHeight="1">
      <c r="P160" s="100"/>
    </row>
    <row r="161" ht="12.75" customHeight="1">
      <c r="P161" s="100"/>
    </row>
    <row r="162" ht="12.75" customHeight="1">
      <c r="P162" s="100"/>
    </row>
    <row r="163" ht="12.75" customHeight="1">
      <c r="P163" s="100"/>
    </row>
    <row r="164" ht="12.75" customHeight="1">
      <c r="P164" s="100"/>
    </row>
    <row r="165" ht="12.75" customHeight="1">
      <c r="P165" s="100"/>
    </row>
    <row r="166" ht="12.75" customHeight="1">
      <c r="P166" s="100"/>
    </row>
    <row r="167" ht="12.75" customHeight="1">
      <c r="P167" s="100"/>
    </row>
    <row r="168" ht="12.75" customHeight="1">
      <c r="P168" s="100"/>
    </row>
    <row r="169" ht="12.75" customHeight="1">
      <c r="P169" s="100"/>
    </row>
    <row r="170" ht="12.75" customHeight="1">
      <c r="P170" s="100"/>
    </row>
    <row r="171" ht="12.75" customHeight="1">
      <c r="P171" s="100"/>
    </row>
    <row r="172" ht="12.75" customHeight="1">
      <c r="P172" s="100"/>
    </row>
    <row r="173" ht="12.75" customHeight="1">
      <c r="P173" s="100"/>
    </row>
    <row r="174" ht="12.75" customHeight="1">
      <c r="P174" s="100"/>
    </row>
    <row r="175" ht="12.75" customHeight="1">
      <c r="P175" s="100"/>
    </row>
    <row r="176" ht="12.75" customHeight="1">
      <c r="P176" s="100"/>
    </row>
    <row r="177" ht="12.75" customHeight="1">
      <c r="P177" s="100"/>
    </row>
    <row r="178" ht="12.75" customHeight="1">
      <c r="P178" s="100"/>
    </row>
    <row r="179" ht="12.75" customHeight="1">
      <c r="P179" s="100"/>
    </row>
    <row r="180" ht="12.75" customHeight="1">
      <c r="P180" s="100"/>
    </row>
    <row r="181" ht="12.75" customHeight="1">
      <c r="P181" s="100"/>
    </row>
    <row r="182" ht="12.75" customHeight="1">
      <c r="P182" s="100"/>
    </row>
    <row r="183" ht="12.75" customHeight="1">
      <c r="P183" s="100"/>
    </row>
    <row r="184" ht="12.75" customHeight="1">
      <c r="P184" s="100"/>
    </row>
    <row r="185" ht="12.75" customHeight="1">
      <c r="P185" s="100"/>
    </row>
    <row r="186" ht="12.75" customHeight="1">
      <c r="P186" s="100"/>
    </row>
    <row r="187" ht="12.75" customHeight="1">
      <c r="P187" s="100"/>
    </row>
    <row r="188" ht="12.75" customHeight="1">
      <c r="P188" s="100"/>
    </row>
    <row r="189" ht="12.75" customHeight="1">
      <c r="P189" s="100"/>
    </row>
    <row r="190" ht="12.75" customHeight="1">
      <c r="P190" s="100"/>
    </row>
    <row r="191" ht="12.75" customHeight="1">
      <c r="P191" s="100"/>
    </row>
    <row r="192" ht="12.75" customHeight="1">
      <c r="P192" s="100"/>
    </row>
    <row r="193" ht="12.75" customHeight="1">
      <c r="P193" s="100"/>
    </row>
    <row r="194" ht="12.75" customHeight="1">
      <c r="P194" s="100"/>
    </row>
    <row r="195" ht="12.75" customHeight="1">
      <c r="P195" s="100"/>
    </row>
    <row r="196" ht="12.75" customHeight="1">
      <c r="P196" s="100"/>
    </row>
    <row r="197" ht="12.75" customHeight="1">
      <c r="P197" s="100"/>
    </row>
    <row r="198" ht="12.75" customHeight="1">
      <c r="P198" s="100"/>
    </row>
    <row r="199" ht="12.75" customHeight="1">
      <c r="P199" s="100"/>
    </row>
    <row r="200" ht="12.75" customHeight="1">
      <c r="P200" s="100"/>
    </row>
    <row r="201" ht="12.75" customHeight="1">
      <c r="P201" s="100"/>
    </row>
    <row r="202" ht="12.75" customHeight="1">
      <c r="P202" s="100"/>
    </row>
    <row r="203" ht="12.75" customHeight="1">
      <c r="P203" s="100"/>
    </row>
    <row r="204" ht="12.75" customHeight="1">
      <c r="P204" s="100"/>
    </row>
    <row r="205" ht="12.75" customHeight="1">
      <c r="P205" s="100"/>
    </row>
    <row r="206" ht="12.75" customHeight="1">
      <c r="P206" s="100"/>
    </row>
    <row r="207" ht="12.75" customHeight="1">
      <c r="P207" s="100"/>
    </row>
    <row r="208" ht="12.75" customHeight="1">
      <c r="P208" s="100"/>
    </row>
    <row r="209" ht="12.75" customHeight="1">
      <c r="P209" s="100"/>
    </row>
    <row r="210" ht="12.75" customHeight="1">
      <c r="P210" s="100"/>
    </row>
    <row r="211" ht="12.75" customHeight="1">
      <c r="P211" s="100"/>
    </row>
    <row r="212" ht="12.75" customHeight="1">
      <c r="P212" s="100"/>
    </row>
    <row r="213" ht="12.75" customHeight="1">
      <c r="P213" s="100"/>
    </row>
    <row r="214" ht="12.75" customHeight="1">
      <c r="P214" s="100"/>
    </row>
    <row r="215" ht="12.75" customHeight="1">
      <c r="P215" s="100"/>
    </row>
    <row r="216" ht="12.75" customHeight="1">
      <c r="P216" s="100"/>
    </row>
    <row r="217" ht="12.75" customHeight="1">
      <c r="P217" s="100"/>
    </row>
    <row r="218" ht="12.75" customHeight="1">
      <c r="P218" s="100"/>
    </row>
    <row r="219" ht="12.75" customHeight="1">
      <c r="P219" s="100"/>
    </row>
    <row r="220" ht="12.75" customHeight="1">
      <c r="P220" s="100"/>
    </row>
    <row r="221" ht="12.75" customHeight="1">
      <c r="P221" s="100"/>
    </row>
    <row r="222" ht="12.75" customHeight="1">
      <c r="P222" s="100"/>
    </row>
    <row r="223" ht="12.75" customHeight="1">
      <c r="P223" s="100"/>
    </row>
    <row r="224" ht="12.75" customHeight="1">
      <c r="P224" s="100"/>
    </row>
    <row r="225" ht="12.75" customHeight="1">
      <c r="P225" s="100"/>
    </row>
    <row r="226" ht="12.75" customHeight="1">
      <c r="P226" s="100"/>
    </row>
    <row r="227" ht="12.75" customHeight="1">
      <c r="P227" s="100"/>
    </row>
    <row r="228" ht="12.75" customHeight="1">
      <c r="P228" s="100"/>
    </row>
    <row r="229" ht="12.75" customHeight="1">
      <c r="P229" s="100"/>
    </row>
    <row r="230" ht="12.75" customHeight="1">
      <c r="P230" s="100"/>
    </row>
    <row r="231" ht="12.75" customHeight="1">
      <c r="P231" s="100"/>
    </row>
    <row r="232" ht="12.75" customHeight="1">
      <c r="P232" s="100"/>
    </row>
    <row r="233" ht="12.75" customHeight="1">
      <c r="P233" s="100"/>
    </row>
    <row r="234" ht="12.75" customHeight="1">
      <c r="P234" s="100"/>
    </row>
    <row r="235" ht="12.75" customHeight="1">
      <c r="P235" s="100"/>
    </row>
    <row r="236" ht="12.75" customHeight="1">
      <c r="P236" s="100"/>
    </row>
    <row r="237" ht="12.75" customHeight="1">
      <c r="P237" s="100"/>
    </row>
    <row r="238" ht="12.75" customHeight="1">
      <c r="P238" s="100"/>
    </row>
    <row r="239" ht="12.75" customHeight="1">
      <c r="P239" s="100"/>
    </row>
    <row r="240" ht="12.75" customHeight="1">
      <c r="P240" s="100"/>
    </row>
    <row r="241" ht="12.75" customHeight="1">
      <c r="P241" s="100"/>
    </row>
    <row r="242" ht="12.75" customHeight="1">
      <c r="P242" s="100"/>
    </row>
    <row r="243" ht="12.75" customHeight="1">
      <c r="P243" s="100"/>
    </row>
    <row r="244" ht="12.75" customHeight="1">
      <c r="P244" s="100"/>
    </row>
    <row r="245" ht="12.75" customHeight="1">
      <c r="P245" s="100"/>
    </row>
    <row r="246" ht="12.75" customHeight="1">
      <c r="P246" s="100"/>
    </row>
    <row r="247" ht="12.75" customHeight="1">
      <c r="P247" s="100"/>
    </row>
    <row r="248" ht="12.75" customHeight="1">
      <c r="P248" s="100"/>
    </row>
    <row r="249" ht="12.75" customHeight="1">
      <c r="P249" s="100"/>
    </row>
    <row r="250" ht="12.75" customHeight="1">
      <c r="P250" s="100"/>
    </row>
    <row r="251" ht="12.75" customHeight="1">
      <c r="P251" s="100"/>
    </row>
    <row r="252" ht="12.75" customHeight="1">
      <c r="P252" s="100"/>
    </row>
    <row r="253" ht="12.75" customHeight="1">
      <c r="P253" s="100"/>
    </row>
    <row r="254" ht="12.75" customHeight="1">
      <c r="P254" s="100"/>
    </row>
    <row r="255" ht="12.75" customHeight="1">
      <c r="P255" s="100"/>
    </row>
    <row r="256" ht="12.75" customHeight="1">
      <c r="P256" s="100"/>
    </row>
    <row r="257" ht="12.75" customHeight="1">
      <c r="P257" s="100"/>
    </row>
    <row r="258" ht="12.75" customHeight="1">
      <c r="P258" s="100"/>
    </row>
    <row r="259" ht="12.75" customHeight="1">
      <c r="P259" s="100"/>
    </row>
    <row r="260" ht="12.75" customHeight="1">
      <c r="P260" s="100"/>
    </row>
    <row r="261" ht="12.75" customHeight="1">
      <c r="P261" s="100"/>
    </row>
    <row r="262" ht="12.75" customHeight="1">
      <c r="P262" s="100"/>
    </row>
    <row r="263" ht="12.75" customHeight="1">
      <c r="P263" s="100"/>
    </row>
    <row r="264" ht="12.75" customHeight="1">
      <c r="P264" s="100"/>
    </row>
    <row r="265" ht="12.75" customHeight="1">
      <c r="P265" s="100"/>
    </row>
    <row r="266" ht="12.75" customHeight="1">
      <c r="P266" s="100"/>
    </row>
    <row r="267" ht="12.75" customHeight="1">
      <c r="P267" s="100"/>
    </row>
    <row r="268" ht="12.75" customHeight="1">
      <c r="P268" s="100"/>
    </row>
    <row r="269" ht="12.75" customHeight="1">
      <c r="P269" s="100"/>
    </row>
    <row r="270" ht="12.75" customHeight="1">
      <c r="P270" s="100"/>
    </row>
    <row r="271" ht="12.75" customHeight="1">
      <c r="P271" s="100"/>
    </row>
    <row r="272" ht="12.75" customHeight="1">
      <c r="P272" s="100"/>
    </row>
    <row r="273" ht="12.75" customHeight="1">
      <c r="P273" s="100"/>
    </row>
    <row r="274" ht="12.75" customHeight="1">
      <c r="P274" s="100"/>
    </row>
    <row r="275" ht="12.75" customHeight="1">
      <c r="P275" s="100"/>
    </row>
    <row r="276" ht="12.75" customHeight="1">
      <c r="P276" s="100"/>
    </row>
    <row r="277" ht="12.75" customHeight="1">
      <c r="P277" s="100"/>
    </row>
    <row r="278" ht="12.75" customHeight="1">
      <c r="P278" s="100"/>
    </row>
    <row r="279" ht="12.75" customHeight="1">
      <c r="P279" s="100"/>
    </row>
    <row r="280" ht="12.75" customHeight="1">
      <c r="P280" s="100"/>
    </row>
    <row r="281" ht="12.75" customHeight="1">
      <c r="P281" s="100"/>
    </row>
    <row r="282" ht="12.75" customHeight="1">
      <c r="P282" s="100"/>
    </row>
    <row r="283" ht="12.75" customHeight="1">
      <c r="P283" s="100"/>
    </row>
    <row r="284" ht="12.75" customHeight="1">
      <c r="P284" s="100"/>
    </row>
    <row r="285" ht="12.75" customHeight="1">
      <c r="P285" s="100"/>
    </row>
    <row r="286" ht="12.75" customHeight="1">
      <c r="P286" s="100"/>
    </row>
    <row r="287" ht="12.75" customHeight="1">
      <c r="P287" s="100"/>
    </row>
    <row r="288" ht="12.75" customHeight="1">
      <c r="P288" s="100"/>
    </row>
    <row r="289" ht="12.75" customHeight="1">
      <c r="P289" s="100"/>
    </row>
    <row r="290" ht="12.75" customHeight="1">
      <c r="P290" s="100"/>
    </row>
    <row r="291" ht="12.75" customHeight="1">
      <c r="P291" s="100"/>
    </row>
    <row r="292" ht="12.75" customHeight="1">
      <c r="P292" s="100"/>
    </row>
    <row r="293" ht="12.75" customHeight="1">
      <c r="P293" s="100"/>
    </row>
    <row r="294" ht="12.75" customHeight="1">
      <c r="P294" s="100"/>
    </row>
    <row r="295" ht="12.75" customHeight="1">
      <c r="P295" s="100"/>
    </row>
    <row r="296" ht="12.75" customHeight="1">
      <c r="P296" s="100"/>
    </row>
    <row r="297" ht="12.75" customHeight="1">
      <c r="P297" s="100"/>
    </row>
    <row r="298" ht="12.75" customHeight="1">
      <c r="P298" s="100"/>
    </row>
    <row r="299" ht="12.75" customHeight="1">
      <c r="P299" s="100"/>
    </row>
    <row r="300" ht="12.75" customHeight="1">
      <c r="P300" s="100"/>
    </row>
    <row r="301" ht="12.75" customHeight="1">
      <c r="P301" s="100"/>
    </row>
    <row r="302" ht="12.75" customHeight="1">
      <c r="P302" s="100"/>
    </row>
    <row r="303" ht="12.75" customHeight="1">
      <c r="P303" s="100"/>
    </row>
    <row r="304" ht="12.75" customHeight="1">
      <c r="P304" s="100"/>
    </row>
    <row r="305" ht="12.75" customHeight="1">
      <c r="P305" s="100"/>
    </row>
    <row r="306" ht="12.75" customHeight="1">
      <c r="P306" s="100"/>
    </row>
    <row r="307" ht="12.75" customHeight="1">
      <c r="P307" s="100"/>
    </row>
    <row r="308" ht="12.75" customHeight="1">
      <c r="P308" s="100"/>
    </row>
    <row r="309" ht="12.75" customHeight="1">
      <c r="P309" s="100"/>
    </row>
    <row r="310" ht="12.75" customHeight="1">
      <c r="P310" s="100"/>
    </row>
    <row r="311" ht="12.75" customHeight="1">
      <c r="P311" s="100"/>
    </row>
    <row r="312" ht="12.75" customHeight="1">
      <c r="P312" s="100"/>
    </row>
    <row r="313" ht="12.75" customHeight="1">
      <c r="P313" s="100"/>
    </row>
    <row r="314" ht="12.75" customHeight="1">
      <c r="P314" s="100"/>
    </row>
    <row r="315" ht="12.75" customHeight="1">
      <c r="P315" s="100"/>
    </row>
    <row r="316" ht="12.75" customHeight="1">
      <c r="P316" s="100"/>
    </row>
    <row r="317" ht="12.75" customHeight="1">
      <c r="P317" s="100"/>
    </row>
    <row r="318" ht="12.75" customHeight="1">
      <c r="P318" s="100"/>
    </row>
    <row r="319" ht="12.75" customHeight="1">
      <c r="P319" s="100"/>
    </row>
    <row r="320" ht="12.75" customHeight="1">
      <c r="P320" s="100"/>
    </row>
    <row r="321" ht="12.75" customHeight="1">
      <c r="P321" s="100"/>
    </row>
    <row r="322" ht="12.75" customHeight="1">
      <c r="P322" s="100"/>
    </row>
    <row r="323" ht="12.75" customHeight="1">
      <c r="P323" s="100"/>
    </row>
    <row r="324" ht="12.75" customHeight="1">
      <c r="P324" s="100"/>
    </row>
    <row r="325" ht="12.75" customHeight="1">
      <c r="P325" s="100"/>
    </row>
    <row r="326" ht="12.75" customHeight="1">
      <c r="P326" s="100"/>
    </row>
    <row r="327" ht="12.75" customHeight="1">
      <c r="P327" s="100"/>
    </row>
    <row r="328" ht="12.75" customHeight="1">
      <c r="P328" s="100"/>
    </row>
    <row r="329" ht="12.75" customHeight="1">
      <c r="P329" s="100"/>
    </row>
    <row r="330" ht="12.75" customHeight="1">
      <c r="P330" s="100"/>
    </row>
    <row r="331" ht="12.75" customHeight="1">
      <c r="P331" s="100"/>
    </row>
    <row r="332" ht="12.75" customHeight="1">
      <c r="P332" s="100"/>
    </row>
    <row r="333" ht="12.75" customHeight="1">
      <c r="P333" s="100"/>
    </row>
    <row r="334" ht="12.75" customHeight="1">
      <c r="P334" s="100"/>
    </row>
    <row r="335" ht="12.75" customHeight="1">
      <c r="P335" s="100"/>
    </row>
    <row r="336" ht="12.75" customHeight="1">
      <c r="P336" s="100"/>
    </row>
    <row r="337" ht="12.75" customHeight="1">
      <c r="P337" s="100"/>
    </row>
    <row r="338" ht="12.75" customHeight="1">
      <c r="P338" s="100"/>
    </row>
    <row r="339" ht="12.75" customHeight="1">
      <c r="P339" s="100"/>
    </row>
    <row r="340" ht="12.75" customHeight="1">
      <c r="P340" s="100"/>
    </row>
    <row r="341" ht="12.75" customHeight="1">
      <c r="P341" s="100"/>
    </row>
    <row r="342" ht="12.75" customHeight="1">
      <c r="P342" s="100"/>
    </row>
    <row r="343" ht="12.75" customHeight="1">
      <c r="P343" s="100"/>
    </row>
    <row r="344" ht="12.75" customHeight="1">
      <c r="P344" s="100"/>
    </row>
    <row r="345" ht="12.75" customHeight="1">
      <c r="P345" s="100"/>
    </row>
    <row r="346" ht="12.75" customHeight="1">
      <c r="P346" s="100"/>
    </row>
    <row r="347" ht="12.75" customHeight="1">
      <c r="P347" s="100"/>
    </row>
    <row r="348" ht="12.75" customHeight="1">
      <c r="P348" s="100"/>
    </row>
    <row r="349" ht="12.75" customHeight="1">
      <c r="P349" s="100"/>
    </row>
    <row r="350" ht="12.75" customHeight="1">
      <c r="P350" s="100"/>
    </row>
    <row r="351" ht="12.75" customHeight="1">
      <c r="P351" s="100"/>
    </row>
    <row r="352" ht="12.75" customHeight="1">
      <c r="P352" s="100"/>
    </row>
    <row r="353" ht="12.75" customHeight="1">
      <c r="P353" s="100"/>
    </row>
    <row r="354" ht="12.75" customHeight="1">
      <c r="P354" s="100"/>
    </row>
    <row r="355" ht="12.75" customHeight="1">
      <c r="P355" s="100"/>
    </row>
    <row r="356" ht="12.75" customHeight="1">
      <c r="P356" s="100"/>
    </row>
    <row r="357" ht="12.75" customHeight="1">
      <c r="P357" s="100"/>
    </row>
    <row r="358" ht="12.75" customHeight="1">
      <c r="P358" s="100"/>
    </row>
    <row r="359" ht="12.75" customHeight="1">
      <c r="P359" s="100"/>
    </row>
    <row r="360" ht="12.75" customHeight="1">
      <c r="P360" s="100"/>
    </row>
    <row r="361" ht="12.75" customHeight="1">
      <c r="P361" s="100"/>
    </row>
    <row r="362" ht="12.75" customHeight="1">
      <c r="P362" s="100"/>
    </row>
    <row r="363" ht="12.75" customHeight="1">
      <c r="P363" s="100"/>
    </row>
    <row r="364" ht="12.75" customHeight="1">
      <c r="P364" s="100"/>
    </row>
    <row r="365" ht="12.75" customHeight="1">
      <c r="P365" s="100"/>
    </row>
    <row r="366" ht="12.75" customHeight="1">
      <c r="P366" s="100"/>
    </row>
    <row r="367" ht="12.75" customHeight="1">
      <c r="P367" s="100"/>
    </row>
    <row r="368" ht="12.75" customHeight="1">
      <c r="P368" s="100"/>
    </row>
    <row r="369" ht="12.75" customHeight="1">
      <c r="P369" s="100"/>
    </row>
    <row r="370" ht="12.75" customHeight="1">
      <c r="P370" s="100"/>
    </row>
    <row r="371" ht="12.75" customHeight="1">
      <c r="P371" s="100"/>
    </row>
    <row r="372" ht="12.75" customHeight="1">
      <c r="P372" s="100"/>
    </row>
    <row r="373" ht="12.75" customHeight="1">
      <c r="P373" s="100"/>
    </row>
    <row r="374" ht="12.75" customHeight="1">
      <c r="P374" s="100"/>
    </row>
    <row r="375" ht="12.75" customHeight="1">
      <c r="P375" s="100"/>
    </row>
    <row r="376" ht="12.75" customHeight="1">
      <c r="P376" s="100"/>
    </row>
    <row r="377" ht="12.75" customHeight="1">
      <c r="P377" s="100"/>
    </row>
    <row r="378" ht="12.75" customHeight="1">
      <c r="P378" s="100"/>
    </row>
    <row r="379" ht="12.75" customHeight="1">
      <c r="P379" s="100"/>
    </row>
    <row r="380" ht="12.75" customHeight="1">
      <c r="P380" s="100"/>
    </row>
    <row r="381" ht="12.75" customHeight="1">
      <c r="P381" s="100"/>
    </row>
    <row r="382" ht="12.75" customHeight="1">
      <c r="P382" s="100"/>
    </row>
    <row r="383" ht="12.75" customHeight="1">
      <c r="P383" s="100"/>
    </row>
    <row r="384" ht="12.75" customHeight="1">
      <c r="P384" s="100"/>
    </row>
    <row r="385" ht="12.75" customHeight="1">
      <c r="P385" s="100"/>
    </row>
    <row r="386" ht="12.75" customHeight="1">
      <c r="P386" s="100"/>
    </row>
    <row r="387" ht="12.75" customHeight="1">
      <c r="P387" s="100"/>
    </row>
    <row r="388" ht="12.75" customHeight="1">
      <c r="P388" s="100"/>
    </row>
    <row r="389" ht="12.75" customHeight="1">
      <c r="P389" s="100"/>
    </row>
    <row r="390" ht="12.75" customHeight="1">
      <c r="P390" s="100"/>
    </row>
    <row r="391" ht="12.75" customHeight="1">
      <c r="P391" s="100"/>
    </row>
    <row r="392" ht="12.75" customHeight="1">
      <c r="P392" s="100"/>
    </row>
    <row r="393" ht="12.75" customHeight="1">
      <c r="P393" s="100"/>
    </row>
    <row r="394" ht="12.75" customHeight="1">
      <c r="P394" s="100"/>
    </row>
    <row r="395" ht="12.75" customHeight="1">
      <c r="P395" s="100"/>
    </row>
    <row r="396" ht="12.75" customHeight="1">
      <c r="P396" s="100"/>
    </row>
    <row r="397" ht="12.75" customHeight="1">
      <c r="P397" s="100"/>
    </row>
    <row r="398" ht="12.75" customHeight="1">
      <c r="P398" s="100"/>
    </row>
    <row r="399" ht="12.75" customHeight="1">
      <c r="P399" s="100"/>
    </row>
    <row r="400" ht="12.75" customHeight="1">
      <c r="P400" s="100"/>
    </row>
    <row r="401" ht="12.75" customHeight="1">
      <c r="P401" s="100"/>
    </row>
    <row r="402" ht="12.75" customHeight="1">
      <c r="P402" s="100"/>
    </row>
    <row r="403" ht="12.75" customHeight="1">
      <c r="P403" s="100"/>
    </row>
    <row r="404" ht="12.75" customHeight="1">
      <c r="P404" s="100"/>
    </row>
    <row r="405" ht="12.75" customHeight="1">
      <c r="P405" s="100"/>
    </row>
    <row r="406" ht="12.75" customHeight="1">
      <c r="P406" s="100"/>
    </row>
    <row r="407" ht="12.75" customHeight="1">
      <c r="P407" s="100"/>
    </row>
    <row r="408" ht="12.75" customHeight="1">
      <c r="P408" s="100"/>
    </row>
    <row r="409" ht="12.75" customHeight="1">
      <c r="P409" s="100"/>
    </row>
    <row r="410" ht="12.75" customHeight="1">
      <c r="P410" s="100"/>
    </row>
    <row r="411" ht="12.75" customHeight="1">
      <c r="P411" s="100"/>
    </row>
    <row r="412" ht="12.75" customHeight="1">
      <c r="P412" s="100"/>
    </row>
    <row r="413" ht="12.75" customHeight="1">
      <c r="P413" s="100"/>
    </row>
    <row r="414" ht="12.75" customHeight="1">
      <c r="P414" s="100"/>
    </row>
    <row r="415" ht="12.75" customHeight="1">
      <c r="P415" s="100"/>
    </row>
    <row r="416" ht="12.75" customHeight="1">
      <c r="P416" s="100"/>
    </row>
    <row r="417" ht="12.75" customHeight="1">
      <c r="P417" s="100"/>
    </row>
    <row r="418" ht="12.75" customHeight="1">
      <c r="P418" s="100"/>
    </row>
    <row r="419" ht="12.75" customHeight="1">
      <c r="P419" s="100"/>
    </row>
    <row r="420" ht="12.75" customHeight="1">
      <c r="P420" s="100"/>
    </row>
    <row r="421" ht="12.75" customHeight="1">
      <c r="P421" s="100"/>
    </row>
    <row r="422" ht="12.75" customHeight="1">
      <c r="P422" s="100"/>
    </row>
    <row r="423" ht="12.75" customHeight="1">
      <c r="P423" s="100"/>
    </row>
    <row r="424" ht="12.75" customHeight="1">
      <c r="P424" s="100"/>
    </row>
    <row r="425" ht="12.75" customHeight="1">
      <c r="P425" s="100"/>
    </row>
    <row r="426" ht="12.75" customHeight="1">
      <c r="P426" s="100"/>
    </row>
    <row r="427" ht="12.75" customHeight="1">
      <c r="P427" s="100"/>
    </row>
    <row r="428" ht="12.75" customHeight="1">
      <c r="P428" s="100"/>
    </row>
    <row r="429" ht="12.75" customHeight="1">
      <c r="P429" s="100"/>
    </row>
    <row r="430" ht="12.75" customHeight="1">
      <c r="P430" s="100"/>
    </row>
    <row r="431" ht="12.75" customHeight="1">
      <c r="P431" s="100"/>
    </row>
    <row r="432" ht="12.75" customHeight="1">
      <c r="P432" s="100"/>
    </row>
    <row r="433" ht="12.75" customHeight="1">
      <c r="P433" s="100"/>
    </row>
    <row r="434" ht="12.75" customHeight="1">
      <c r="P434" s="100"/>
    </row>
    <row r="435" ht="12.75" customHeight="1">
      <c r="P435" s="100"/>
    </row>
    <row r="436" ht="12.75" customHeight="1">
      <c r="P436" s="100"/>
    </row>
    <row r="437" ht="12.75" customHeight="1">
      <c r="P437" s="100"/>
    </row>
    <row r="438" ht="12.75" customHeight="1">
      <c r="P438" s="100"/>
    </row>
    <row r="439" ht="12.75" customHeight="1">
      <c r="P439" s="100"/>
    </row>
    <row r="440" ht="12.75" customHeight="1">
      <c r="P440" s="100"/>
    </row>
    <row r="441" ht="12.75" customHeight="1">
      <c r="P441" s="100"/>
    </row>
    <row r="442" ht="12.75" customHeight="1">
      <c r="P442" s="100"/>
    </row>
    <row r="443" ht="12.75" customHeight="1">
      <c r="P443" s="100"/>
    </row>
    <row r="444" ht="12.75" customHeight="1">
      <c r="P444" s="100"/>
    </row>
    <row r="445" ht="12.75" customHeight="1">
      <c r="P445" s="100"/>
    </row>
    <row r="446" ht="12.75" customHeight="1">
      <c r="P446" s="100"/>
    </row>
    <row r="447" ht="12.75" customHeight="1">
      <c r="P447" s="100"/>
    </row>
    <row r="448" ht="12.75" customHeight="1">
      <c r="P448" s="100"/>
    </row>
    <row r="449" ht="12.75" customHeight="1">
      <c r="P449" s="100"/>
    </row>
    <row r="450" ht="12.75" customHeight="1">
      <c r="P450" s="100"/>
    </row>
    <row r="451" ht="12.75" customHeight="1">
      <c r="P451" s="100"/>
    </row>
    <row r="452" ht="12.75" customHeight="1">
      <c r="P452" s="100"/>
    </row>
    <row r="453" ht="12.75" customHeight="1">
      <c r="P453" s="100"/>
    </row>
    <row r="454" ht="12.75" customHeight="1">
      <c r="P454" s="100"/>
    </row>
    <row r="455" ht="12.75" customHeight="1">
      <c r="P455" s="100"/>
    </row>
    <row r="456" ht="12.75" customHeight="1">
      <c r="P456" s="100"/>
    </row>
    <row r="457" ht="12.75" customHeight="1">
      <c r="P457" s="100"/>
    </row>
    <row r="458" ht="12.75" customHeight="1">
      <c r="P458" s="100"/>
    </row>
    <row r="459" ht="12.75" customHeight="1">
      <c r="P459" s="100"/>
    </row>
    <row r="460" ht="12.75" customHeight="1">
      <c r="P460" s="100"/>
    </row>
    <row r="461" ht="12.75" customHeight="1">
      <c r="P461" s="100"/>
    </row>
    <row r="462" ht="12.75" customHeight="1">
      <c r="P462" s="100"/>
    </row>
    <row r="463" ht="12.75" customHeight="1">
      <c r="P463" s="100"/>
    </row>
    <row r="464" ht="12.75" customHeight="1">
      <c r="P464" s="100"/>
    </row>
    <row r="465" ht="12.75" customHeight="1">
      <c r="P465" s="100"/>
    </row>
    <row r="466" ht="12.75" customHeight="1">
      <c r="P466" s="100"/>
    </row>
    <row r="467" ht="12.75" customHeight="1">
      <c r="P467" s="100"/>
    </row>
    <row r="468" ht="12.75" customHeight="1">
      <c r="P468" s="100"/>
    </row>
    <row r="469" ht="12.75" customHeight="1">
      <c r="P469" s="100"/>
    </row>
    <row r="470" ht="12.75" customHeight="1">
      <c r="P470" s="100"/>
    </row>
    <row r="471" ht="12.75" customHeight="1">
      <c r="P471" s="100"/>
    </row>
    <row r="472" ht="12.75" customHeight="1">
      <c r="P472" s="100"/>
    </row>
    <row r="473" ht="12.75" customHeight="1">
      <c r="P473" s="100"/>
    </row>
    <row r="474" ht="12.75" customHeight="1">
      <c r="P474" s="100"/>
    </row>
    <row r="475" ht="12.75" customHeight="1">
      <c r="P475" s="100"/>
    </row>
    <row r="476" ht="12.75" customHeight="1">
      <c r="P476" s="100"/>
    </row>
    <row r="477" ht="12.75" customHeight="1">
      <c r="P477" s="100"/>
    </row>
    <row r="478" ht="12.75" customHeight="1">
      <c r="P478" s="100"/>
    </row>
    <row r="479" ht="12.75" customHeight="1">
      <c r="P479" s="100"/>
    </row>
    <row r="480" ht="12.75" customHeight="1">
      <c r="P480" s="100"/>
    </row>
    <row r="481" ht="12.75" customHeight="1">
      <c r="P481" s="100"/>
    </row>
    <row r="482" ht="12.75" customHeight="1">
      <c r="P482" s="100"/>
    </row>
    <row r="483" ht="12.75" customHeight="1">
      <c r="P483" s="100"/>
    </row>
    <row r="484" ht="12.75" customHeight="1">
      <c r="P484" s="100"/>
    </row>
    <row r="485" ht="12.75" customHeight="1">
      <c r="P485" s="100"/>
    </row>
    <row r="486" ht="12.75" customHeight="1">
      <c r="P486" s="100"/>
    </row>
    <row r="487" ht="12.75" customHeight="1">
      <c r="P487" s="100"/>
    </row>
    <row r="488" ht="12.75" customHeight="1">
      <c r="P488" s="100"/>
    </row>
    <row r="489" ht="12.75" customHeight="1">
      <c r="P489" s="100"/>
    </row>
    <row r="490" ht="12.75" customHeight="1">
      <c r="P490" s="100"/>
    </row>
    <row r="491" ht="12.75" customHeight="1">
      <c r="P491" s="100"/>
    </row>
    <row r="492" ht="12.75" customHeight="1">
      <c r="P492" s="100"/>
    </row>
    <row r="493" ht="12.75" customHeight="1">
      <c r="P493" s="100"/>
    </row>
    <row r="494" ht="12.75" customHeight="1">
      <c r="P494" s="100"/>
    </row>
    <row r="495" ht="12.75" customHeight="1">
      <c r="P495" s="100"/>
    </row>
    <row r="496" ht="12.75" customHeight="1">
      <c r="P496" s="100"/>
    </row>
    <row r="497" ht="12.75" customHeight="1">
      <c r="P497" s="100"/>
    </row>
    <row r="498" ht="12.75" customHeight="1">
      <c r="P498" s="100"/>
    </row>
    <row r="499" ht="12.75" customHeight="1">
      <c r="P499" s="100"/>
    </row>
    <row r="500" ht="12.75" customHeight="1">
      <c r="P500" s="100"/>
    </row>
    <row r="501" ht="12.75" customHeight="1">
      <c r="P501" s="100"/>
    </row>
    <row r="502" ht="12.75" customHeight="1">
      <c r="P502" s="100"/>
    </row>
    <row r="503" ht="12.75" customHeight="1">
      <c r="P503" s="100"/>
    </row>
    <row r="504" ht="12.75" customHeight="1">
      <c r="P504" s="100"/>
    </row>
    <row r="505" ht="12.75" customHeight="1">
      <c r="P505" s="100"/>
    </row>
    <row r="506" ht="12.75" customHeight="1">
      <c r="P506" s="100"/>
    </row>
    <row r="507" ht="12.75" customHeight="1">
      <c r="P507" s="100"/>
    </row>
    <row r="508" ht="12.75" customHeight="1">
      <c r="P508" s="100"/>
    </row>
    <row r="509" ht="12.75" customHeight="1">
      <c r="P509" s="100"/>
    </row>
    <row r="510" ht="12.75" customHeight="1">
      <c r="P510" s="100"/>
    </row>
    <row r="511" ht="12.75" customHeight="1">
      <c r="P511" s="100"/>
    </row>
    <row r="512" ht="12.75" customHeight="1">
      <c r="P512" s="100"/>
    </row>
    <row r="513" ht="12.75" customHeight="1">
      <c r="P513" s="100"/>
    </row>
    <row r="514" ht="12.75" customHeight="1">
      <c r="P514" s="100"/>
    </row>
    <row r="515" ht="12.75" customHeight="1">
      <c r="P515" s="100"/>
    </row>
    <row r="516" ht="12.75" customHeight="1">
      <c r="P516" s="100"/>
    </row>
    <row r="517" ht="12.75" customHeight="1">
      <c r="P517" s="100"/>
    </row>
    <row r="518" ht="12.75" customHeight="1">
      <c r="P518" s="100"/>
    </row>
    <row r="519" ht="12.75" customHeight="1">
      <c r="P519" s="100"/>
    </row>
    <row r="520" ht="12.75" customHeight="1">
      <c r="P520" s="100"/>
    </row>
    <row r="521" ht="12.75" customHeight="1">
      <c r="P521" s="100"/>
    </row>
    <row r="522" ht="12.75" customHeight="1">
      <c r="P522" s="100"/>
    </row>
    <row r="523" ht="12.75" customHeight="1">
      <c r="P523" s="100"/>
    </row>
    <row r="524" ht="12.75" customHeight="1">
      <c r="P524" s="100"/>
    </row>
    <row r="525" ht="12.75" customHeight="1">
      <c r="P525" s="100"/>
    </row>
    <row r="526" ht="12.75" customHeight="1">
      <c r="P526" s="100"/>
    </row>
    <row r="527" ht="12.75" customHeight="1">
      <c r="P527" s="100"/>
    </row>
    <row r="528" ht="12.75" customHeight="1">
      <c r="P528" s="100"/>
    </row>
    <row r="529" ht="12.75" customHeight="1">
      <c r="P529" s="100"/>
    </row>
    <row r="530" ht="12.75" customHeight="1">
      <c r="P530" s="100"/>
    </row>
    <row r="531" ht="12.75" customHeight="1">
      <c r="P531" s="100"/>
    </row>
    <row r="532" ht="12.75" customHeight="1">
      <c r="P532" s="100"/>
    </row>
    <row r="533" ht="12.75" customHeight="1">
      <c r="P533" s="100"/>
    </row>
    <row r="534" ht="12.75" customHeight="1">
      <c r="P534" s="100"/>
    </row>
    <row r="535" ht="12.75" customHeight="1">
      <c r="P535" s="100"/>
    </row>
    <row r="536" ht="12.75" customHeight="1">
      <c r="P536" s="100"/>
    </row>
    <row r="537" ht="12.75" customHeight="1">
      <c r="P537" s="100"/>
    </row>
    <row r="538" ht="12.75" customHeight="1">
      <c r="P538" s="100"/>
    </row>
    <row r="539" ht="12.75" customHeight="1">
      <c r="P539" s="100"/>
    </row>
    <row r="540" ht="12.75" customHeight="1">
      <c r="P540" s="100"/>
    </row>
    <row r="541" ht="12.75" customHeight="1">
      <c r="P541" s="100"/>
    </row>
    <row r="542" ht="12.75" customHeight="1">
      <c r="P542" s="100"/>
    </row>
    <row r="543" ht="12.75" customHeight="1">
      <c r="P543" s="100"/>
    </row>
    <row r="544" ht="12.75" customHeight="1">
      <c r="P544" s="100"/>
    </row>
    <row r="545" ht="12.75" customHeight="1">
      <c r="P545" s="100"/>
    </row>
    <row r="546" ht="12.75" customHeight="1">
      <c r="P546" s="100"/>
    </row>
    <row r="547" ht="12.75" customHeight="1">
      <c r="P547" s="100"/>
    </row>
    <row r="548" ht="12.75" customHeight="1">
      <c r="P548" s="100"/>
    </row>
    <row r="549" ht="12.75" customHeight="1">
      <c r="P549" s="100"/>
    </row>
    <row r="550" ht="12.75" customHeight="1">
      <c r="P550" s="100"/>
    </row>
    <row r="551" ht="12.75" customHeight="1">
      <c r="P551" s="100"/>
    </row>
    <row r="552" ht="12.75" customHeight="1">
      <c r="P552" s="100"/>
    </row>
    <row r="553" ht="12.75" customHeight="1">
      <c r="P553" s="100"/>
    </row>
    <row r="554" ht="12.75" customHeight="1">
      <c r="P554" s="100"/>
    </row>
    <row r="555" ht="12.75" customHeight="1">
      <c r="P555" s="100"/>
    </row>
    <row r="556" ht="12.75" customHeight="1">
      <c r="P556" s="100"/>
    </row>
    <row r="557" ht="12.75" customHeight="1">
      <c r="P557" s="100"/>
    </row>
    <row r="558" ht="12.75" customHeight="1">
      <c r="P558" s="100"/>
    </row>
    <row r="559" ht="12.75" customHeight="1">
      <c r="P559" s="100"/>
    </row>
    <row r="560" ht="12.75" customHeight="1">
      <c r="P560" s="100"/>
    </row>
    <row r="561" ht="12.75" customHeight="1">
      <c r="P561" s="100"/>
    </row>
    <row r="562" ht="12.75" customHeight="1">
      <c r="P562" s="100"/>
    </row>
    <row r="563" ht="12.75" customHeight="1">
      <c r="P563" s="100"/>
    </row>
    <row r="564" ht="12.75" customHeight="1">
      <c r="P564" s="100"/>
    </row>
    <row r="565" ht="12.75" customHeight="1">
      <c r="P565" s="100"/>
    </row>
    <row r="566" ht="12.75" customHeight="1">
      <c r="P566" s="100"/>
    </row>
    <row r="567" ht="12.75" customHeight="1">
      <c r="P567" s="100"/>
    </row>
    <row r="568" ht="12.75" customHeight="1">
      <c r="P568" s="100"/>
    </row>
    <row r="569" ht="12.75" customHeight="1">
      <c r="P569" s="100"/>
    </row>
    <row r="570" ht="12.75" customHeight="1">
      <c r="P570" s="100"/>
    </row>
    <row r="571" ht="12.75" customHeight="1">
      <c r="P571" s="100"/>
    </row>
    <row r="572" ht="12.75" customHeight="1">
      <c r="P572" s="100"/>
    </row>
    <row r="573" ht="12.75" customHeight="1">
      <c r="P573" s="100"/>
    </row>
    <row r="574" ht="12.75" customHeight="1">
      <c r="P574" s="100"/>
    </row>
    <row r="575" ht="12.75" customHeight="1">
      <c r="P575" s="100"/>
    </row>
    <row r="576" ht="12.75" customHeight="1">
      <c r="P576" s="100"/>
    </row>
    <row r="577" ht="12.75" customHeight="1">
      <c r="P577" s="100"/>
    </row>
    <row r="578" ht="12.75" customHeight="1">
      <c r="P578" s="100"/>
    </row>
    <row r="579" ht="12.75" customHeight="1">
      <c r="P579" s="100"/>
    </row>
    <row r="580" ht="12.75" customHeight="1">
      <c r="P580" s="100"/>
    </row>
    <row r="581" ht="12.75" customHeight="1">
      <c r="P581" s="100"/>
    </row>
    <row r="582" ht="12.75" customHeight="1">
      <c r="P582" s="100"/>
    </row>
    <row r="583" ht="12.75" customHeight="1">
      <c r="P583" s="100"/>
    </row>
    <row r="584" ht="12.75" customHeight="1">
      <c r="P584" s="100"/>
    </row>
    <row r="585" ht="12.75" customHeight="1">
      <c r="P585" s="100"/>
    </row>
    <row r="586" ht="12.75" customHeight="1">
      <c r="P586" s="100"/>
    </row>
    <row r="587" ht="12.75" customHeight="1">
      <c r="P587" s="100"/>
    </row>
    <row r="588" ht="12.75" customHeight="1">
      <c r="P588" s="100"/>
    </row>
    <row r="589" ht="12.75" customHeight="1">
      <c r="P589" s="100"/>
    </row>
    <row r="590" ht="12.75" customHeight="1">
      <c r="P590" s="100"/>
    </row>
    <row r="591" ht="12.75" customHeight="1">
      <c r="P591" s="100"/>
    </row>
    <row r="592" ht="12.75" customHeight="1">
      <c r="P592" s="100"/>
    </row>
    <row r="593" ht="12.75" customHeight="1">
      <c r="P593" s="100"/>
    </row>
    <row r="594" ht="12.75" customHeight="1">
      <c r="P594" s="100"/>
    </row>
    <row r="595" ht="12.75" customHeight="1">
      <c r="P595" s="100"/>
    </row>
    <row r="596" ht="12.75" customHeight="1">
      <c r="P596" s="100"/>
    </row>
    <row r="597" ht="12.75" customHeight="1">
      <c r="P597" s="100"/>
    </row>
    <row r="598" ht="12.75" customHeight="1">
      <c r="P598" s="100"/>
    </row>
    <row r="599" ht="12.75" customHeight="1">
      <c r="P599" s="100"/>
    </row>
    <row r="600" ht="12.75" customHeight="1">
      <c r="P600" s="100"/>
    </row>
    <row r="601" ht="12.75" customHeight="1">
      <c r="P601" s="100"/>
    </row>
    <row r="602" ht="12.75" customHeight="1">
      <c r="P602" s="100"/>
    </row>
    <row r="603" ht="12.75" customHeight="1">
      <c r="P603" s="100"/>
    </row>
    <row r="604" ht="12.75" customHeight="1">
      <c r="P604" s="100"/>
    </row>
    <row r="605" ht="12.75" customHeight="1">
      <c r="P605" s="100"/>
    </row>
    <row r="606" ht="12.75" customHeight="1">
      <c r="P606" s="100"/>
    </row>
    <row r="607" ht="12.75" customHeight="1">
      <c r="P607" s="100"/>
    </row>
    <row r="608" ht="12.75" customHeight="1">
      <c r="P608" s="100"/>
    </row>
    <row r="609" ht="12.75" customHeight="1">
      <c r="P609" s="100"/>
    </row>
    <row r="610" ht="12.75" customHeight="1">
      <c r="P610" s="100"/>
    </row>
    <row r="611" ht="12.75" customHeight="1">
      <c r="P611" s="100"/>
    </row>
    <row r="612" ht="12.75" customHeight="1">
      <c r="P612" s="100"/>
    </row>
    <row r="613" ht="12.75" customHeight="1">
      <c r="P613" s="100"/>
    </row>
    <row r="614" ht="12.75" customHeight="1">
      <c r="P614" s="100"/>
    </row>
    <row r="615" ht="12.75" customHeight="1">
      <c r="P615" s="100"/>
    </row>
    <row r="616" ht="12.75" customHeight="1">
      <c r="P616" s="100"/>
    </row>
    <row r="617" ht="12.75" customHeight="1">
      <c r="P617" s="100"/>
    </row>
    <row r="618" ht="12.75" customHeight="1">
      <c r="P618" s="100"/>
    </row>
    <row r="619" ht="12.75" customHeight="1">
      <c r="P619" s="100"/>
    </row>
    <row r="620" ht="12.75" customHeight="1">
      <c r="P620" s="100"/>
    </row>
    <row r="621" ht="12.75" customHeight="1">
      <c r="P621" s="100"/>
    </row>
    <row r="622" ht="12.75" customHeight="1">
      <c r="P622" s="100"/>
    </row>
    <row r="623" ht="12.75" customHeight="1">
      <c r="P623" s="100"/>
    </row>
    <row r="624" ht="12.75" customHeight="1">
      <c r="P624" s="100"/>
    </row>
    <row r="625" ht="12.75" customHeight="1">
      <c r="P625" s="100"/>
    </row>
    <row r="626" ht="12.75" customHeight="1">
      <c r="P626" s="100"/>
    </row>
    <row r="627" ht="12.75" customHeight="1">
      <c r="P627" s="100"/>
    </row>
    <row r="628" ht="12.75" customHeight="1">
      <c r="P628" s="100"/>
    </row>
    <row r="629" ht="12.75" customHeight="1">
      <c r="P629" s="100"/>
    </row>
    <row r="630" ht="12.75" customHeight="1">
      <c r="P630" s="100"/>
    </row>
    <row r="631" ht="12.75" customHeight="1">
      <c r="P631" s="100"/>
    </row>
    <row r="632" ht="12.75" customHeight="1">
      <c r="P632" s="100"/>
    </row>
    <row r="633" ht="12.75" customHeight="1">
      <c r="P633" s="100"/>
    </row>
    <row r="634" ht="12.75" customHeight="1">
      <c r="P634" s="100"/>
    </row>
    <row r="635" ht="12.75" customHeight="1">
      <c r="P635" s="100"/>
    </row>
    <row r="636" ht="12.75" customHeight="1">
      <c r="P636" s="100"/>
    </row>
    <row r="637" ht="12.75" customHeight="1">
      <c r="P637" s="100"/>
    </row>
    <row r="638" ht="12.75" customHeight="1">
      <c r="P638" s="100"/>
    </row>
    <row r="639" ht="12.75" customHeight="1">
      <c r="P639" s="100"/>
    </row>
    <row r="640" ht="12.75" customHeight="1">
      <c r="P640" s="100"/>
    </row>
    <row r="641" ht="12.75" customHeight="1">
      <c r="P641" s="100"/>
    </row>
    <row r="642" ht="12.75" customHeight="1">
      <c r="P642" s="100"/>
    </row>
    <row r="643" ht="12.75" customHeight="1">
      <c r="P643" s="100"/>
    </row>
    <row r="644" ht="12.75" customHeight="1">
      <c r="P644" s="100"/>
    </row>
    <row r="645" ht="12.75" customHeight="1">
      <c r="P645" s="100"/>
    </row>
    <row r="646" ht="12.75" customHeight="1">
      <c r="P646" s="100"/>
    </row>
    <row r="647" ht="12.75" customHeight="1">
      <c r="P647" s="100"/>
    </row>
    <row r="648" ht="12.75" customHeight="1">
      <c r="P648" s="100"/>
    </row>
    <row r="649" ht="12.75" customHeight="1">
      <c r="P649" s="100"/>
    </row>
    <row r="650" ht="12.75" customHeight="1">
      <c r="P650" s="100"/>
    </row>
    <row r="651" ht="12.75" customHeight="1">
      <c r="P651" s="100"/>
    </row>
    <row r="652" ht="12.75" customHeight="1">
      <c r="P652" s="100"/>
    </row>
    <row r="653" ht="12.75" customHeight="1">
      <c r="P653" s="100"/>
    </row>
    <row r="654" ht="12.75" customHeight="1">
      <c r="P654" s="100"/>
    </row>
    <row r="655" ht="12.75" customHeight="1">
      <c r="P655" s="100"/>
    </row>
    <row r="656" ht="12.75" customHeight="1">
      <c r="P656" s="100"/>
    </row>
    <row r="657" ht="12.75" customHeight="1">
      <c r="P657" s="100"/>
    </row>
    <row r="658" ht="12.75" customHeight="1">
      <c r="P658" s="100"/>
    </row>
    <row r="659" ht="12.75" customHeight="1">
      <c r="P659" s="100"/>
    </row>
    <row r="660" ht="12.75" customHeight="1">
      <c r="P660" s="100"/>
    </row>
    <row r="661" ht="12.75" customHeight="1">
      <c r="P661" s="100"/>
    </row>
    <row r="662" ht="12.75" customHeight="1">
      <c r="P662" s="100"/>
    </row>
    <row r="663" ht="12.75" customHeight="1">
      <c r="P663" s="100"/>
    </row>
    <row r="664" ht="12.75" customHeight="1">
      <c r="P664" s="100"/>
    </row>
    <row r="665" ht="12.75" customHeight="1">
      <c r="P665" s="100"/>
    </row>
    <row r="666" ht="12.75" customHeight="1">
      <c r="P666" s="100"/>
    </row>
    <row r="667" ht="12.75" customHeight="1">
      <c r="P667" s="100"/>
    </row>
    <row r="668" ht="12.75" customHeight="1">
      <c r="P668" s="100"/>
    </row>
    <row r="669" ht="12.75" customHeight="1">
      <c r="P669" s="100"/>
    </row>
    <row r="670" ht="12.75" customHeight="1">
      <c r="P670" s="100"/>
    </row>
    <row r="671" ht="12.75" customHeight="1">
      <c r="P671" s="100"/>
    </row>
    <row r="672" ht="12.75" customHeight="1">
      <c r="P672" s="100"/>
    </row>
    <row r="673" ht="12.75" customHeight="1">
      <c r="P673" s="100"/>
    </row>
    <row r="674" ht="12.75" customHeight="1">
      <c r="P674" s="100"/>
    </row>
    <row r="675" ht="12.75" customHeight="1">
      <c r="P675" s="100"/>
    </row>
    <row r="676" ht="12.75" customHeight="1">
      <c r="P676" s="100"/>
    </row>
    <row r="677" ht="12.75" customHeight="1">
      <c r="P677" s="100"/>
    </row>
    <row r="678" ht="12.75" customHeight="1">
      <c r="P678" s="100"/>
    </row>
    <row r="679" ht="12.75" customHeight="1">
      <c r="P679" s="100"/>
    </row>
    <row r="680" ht="12.75" customHeight="1">
      <c r="P680" s="100"/>
    </row>
    <row r="681" ht="12.75" customHeight="1">
      <c r="P681" s="100"/>
    </row>
    <row r="682" ht="12.75" customHeight="1">
      <c r="P682" s="100"/>
    </row>
    <row r="683" ht="12.75" customHeight="1">
      <c r="P683" s="100"/>
    </row>
    <row r="684" ht="12.75" customHeight="1">
      <c r="P684" s="100"/>
    </row>
    <row r="685" ht="12.75" customHeight="1">
      <c r="P685" s="100"/>
    </row>
    <row r="686" ht="12.75" customHeight="1">
      <c r="P686" s="100"/>
    </row>
    <row r="687" ht="12.75" customHeight="1">
      <c r="P687" s="100"/>
    </row>
    <row r="688" ht="12.75" customHeight="1">
      <c r="P688" s="100"/>
    </row>
    <row r="689" ht="12.75" customHeight="1">
      <c r="P689" s="100"/>
    </row>
    <row r="690" ht="12.75" customHeight="1">
      <c r="P690" s="100"/>
    </row>
    <row r="691" ht="12.75" customHeight="1">
      <c r="P691" s="100"/>
    </row>
    <row r="692" ht="12.75" customHeight="1">
      <c r="P692" s="100"/>
    </row>
    <row r="693" ht="12.75" customHeight="1">
      <c r="P693" s="100"/>
    </row>
    <row r="694" ht="12.75" customHeight="1">
      <c r="P694" s="100"/>
    </row>
    <row r="695" ht="12.75" customHeight="1">
      <c r="P695" s="100"/>
    </row>
    <row r="696" ht="12.75" customHeight="1">
      <c r="P696" s="100"/>
    </row>
    <row r="697" ht="12.75" customHeight="1">
      <c r="P697" s="100"/>
    </row>
    <row r="698" ht="12.75" customHeight="1">
      <c r="P698" s="100"/>
    </row>
    <row r="699" ht="12.75" customHeight="1">
      <c r="P699" s="100"/>
    </row>
    <row r="700" ht="12.75" customHeight="1">
      <c r="P700" s="100"/>
    </row>
    <row r="701" ht="12.75" customHeight="1">
      <c r="P701" s="100"/>
    </row>
    <row r="702" ht="12.75" customHeight="1">
      <c r="P702" s="100"/>
    </row>
    <row r="703" ht="12.75" customHeight="1">
      <c r="P703" s="100"/>
    </row>
    <row r="704" ht="12.75" customHeight="1">
      <c r="P704" s="100"/>
    </row>
    <row r="705" ht="12.75" customHeight="1">
      <c r="P705" s="100"/>
    </row>
    <row r="706" ht="12.75" customHeight="1">
      <c r="P706" s="100"/>
    </row>
    <row r="707" ht="12.75" customHeight="1">
      <c r="P707" s="100"/>
    </row>
    <row r="708" ht="12.75" customHeight="1">
      <c r="P708" s="100"/>
    </row>
    <row r="709" ht="12.75" customHeight="1">
      <c r="P709" s="100"/>
    </row>
    <row r="710" ht="12.75" customHeight="1">
      <c r="P710" s="100"/>
    </row>
    <row r="711" ht="12.75" customHeight="1">
      <c r="P711" s="100"/>
    </row>
    <row r="712" ht="12.75" customHeight="1">
      <c r="P712" s="100"/>
    </row>
    <row r="713" ht="12.75" customHeight="1">
      <c r="P713" s="100"/>
    </row>
    <row r="714" ht="12.75" customHeight="1">
      <c r="P714" s="100"/>
    </row>
    <row r="715" ht="12.75" customHeight="1">
      <c r="P715" s="100"/>
    </row>
    <row r="716" ht="12.75" customHeight="1">
      <c r="P716" s="100"/>
    </row>
    <row r="717" ht="12.75" customHeight="1">
      <c r="P717" s="100"/>
    </row>
    <row r="718" ht="12.75" customHeight="1">
      <c r="P718" s="100"/>
    </row>
    <row r="719" ht="12.75" customHeight="1">
      <c r="P719" s="100"/>
    </row>
    <row r="720" ht="12.75" customHeight="1">
      <c r="P720" s="100"/>
    </row>
    <row r="721" ht="12.75" customHeight="1">
      <c r="P721" s="100"/>
    </row>
    <row r="722" ht="12.75" customHeight="1">
      <c r="P722" s="100"/>
    </row>
    <row r="723" ht="12.75" customHeight="1">
      <c r="P723" s="100"/>
    </row>
    <row r="724" ht="12.75" customHeight="1">
      <c r="P724" s="100"/>
    </row>
    <row r="725" ht="12.75" customHeight="1">
      <c r="P725" s="100"/>
    </row>
    <row r="726" ht="12.75" customHeight="1">
      <c r="P726" s="100"/>
    </row>
    <row r="727" ht="12.75" customHeight="1">
      <c r="P727" s="100"/>
    </row>
    <row r="728" ht="12.75" customHeight="1">
      <c r="P728" s="100"/>
    </row>
    <row r="729" ht="12.75" customHeight="1">
      <c r="P729" s="100"/>
    </row>
    <row r="730" ht="12.75" customHeight="1">
      <c r="P730" s="100"/>
    </row>
    <row r="731" ht="12.75" customHeight="1">
      <c r="P731" s="100"/>
    </row>
    <row r="732" ht="12.75" customHeight="1">
      <c r="P732" s="100"/>
    </row>
    <row r="733" ht="12.75" customHeight="1">
      <c r="P733" s="100"/>
    </row>
    <row r="734" ht="12.75" customHeight="1">
      <c r="P734" s="100"/>
    </row>
    <row r="735" ht="12.75" customHeight="1">
      <c r="P735" s="100"/>
    </row>
    <row r="736" ht="12.75" customHeight="1">
      <c r="P736" s="100"/>
    </row>
    <row r="737" ht="12.75" customHeight="1">
      <c r="P737" s="100"/>
    </row>
    <row r="738" ht="12.75" customHeight="1">
      <c r="P738" s="100"/>
    </row>
    <row r="739" ht="12.75" customHeight="1">
      <c r="P739" s="100"/>
    </row>
    <row r="740" ht="12.75" customHeight="1">
      <c r="P740" s="100"/>
    </row>
    <row r="741" ht="12.75" customHeight="1">
      <c r="P741" s="100"/>
    </row>
    <row r="742" ht="12.75" customHeight="1">
      <c r="P742" s="100"/>
    </row>
    <row r="743" ht="12.75" customHeight="1">
      <c r="P743" s="100"/>
    </row>
    <row r="744" ht="12.75" customHeight="1">
      <c r="P744" s="100"/>
    </row>
    <row r="745" ht="12.75" customHeight="1">
      <c r="P745" s="100"/>
    </row>
    <row r="746" ht="12.75" customHeight="1">
      <c r="P746" s="100"/>
    </row>
    <row r="747" ht="12.75" customHeight="1">
      <c r="P747" s="100"/>
    </row>
    <row r="748" ht="12.75" customHeight="1">
      <c r="P748" s="100"/>
    </row>
    <row r="749" ht="12.75" customHeight="1">
      <c r="P749" s="100"/>
    </row>
    <row r="750" ht="12.75" customHeight="1">
      <c r="P750" s="100"/>
    </row>
    <row r="751" ht="12.75" customHeight="1">
      <c r="P751" s="100"/>
    </row>
    <row r="752" ht="12.75" customHeight="1">
      <c r="P752" s="100"/>
    </row>
    <row r="753" ht="12.75" customHeight="1">
      <c r="P753" s="100"/>
    </row>
    <row r="754" ht="12.75" customHeight="1">
      <c r="P754" s="100"/>
    </row>
    <row r="755" ht="12.75" customHeight="1">
      <c r="P755" s="100"/>
    </row>
    <row r="756" ht="12.75" customHeight="1">
      <c r="P756" s="100"/>
    </row>
    <row r="757" ht="12.75" customHeight="1">
      <c r="P757" s="100"/>
    </row>
    <row r="758" ht="12.75" customHeight="1">
      <c r="P758" s="100"/>
    </row>
    <row r="759" ht="12.75" customHeight="1">
      <c r="P759" s="100"/>
    </row>
    <row r="760" ht="12.75" customHeight="1">
      <c r="P760" s="100"/>
    </row>
    <row r="761" ht="12.75" customHeight="1">
      <c r="P761" s="100"/>
    </row>
    <row r="762" ht="12.75" customHeight="1">
      <c r="P762" s="100"/>
    </row>
    <row r="763" ht="12.75" customHeight="1">
      <c r="P763" s="100"/>
    </row>
    <row r="764" ht="12.75" customHeight="1">
      <c r="P764" s="100"/>
    </row>
    <row r="765" ht="12.75" customHeight="1">
      <c r="P765" s="100"/>
    </row>
    <row r="766" ht="12.75" customHeight="1">
      <c r="P766" s="100"/>
    </row>
    <row r="767" ht="12.75" customHeight="1">
      <c r="P767" s="100"/>
    </row>
    <row r="768" ht="12.75" customHeight="1">
      <c r="P768" s="100"/>
    </row>
    <row r="769" ht="12.75" customHeight="1">
      <c r="P769" s="100"/>
    </row>
    <row r="770" ht="12.75" customHeight="1">
      <c r="P770" s="100"/>
    </row>
    <row r="771" ht="12.75" customHeight="1">
      <c r="P771" s="100"/>
    </row>
    <row r="772" ht="12.75" customHeight="1">
      <c r="P772" s="100"/>
    </row>
    <row r="773" ht="12.75" customHeight="1">
      <c r="P773" s="100"/>
    </row>
    <row r="774" ht="12.75" customHeight="1">
      <c r="P774" s="100"/>
    </row>
    <row r="775" ht="12.75" customHeight="1">
      <c r="P775" s="100"/>
    </row>
    <row r="776" ht="12.75" customHeight="1">
      <c r="P776" s="100"/>
    </row>
    <row r="777" ht="12.75" customHeight="1">
      <c r="P777" s="100"/>
    </row>
    <row r="778" ht="12.75" customHeight="1">
      <c r="P778" s="100"/>
    </row>
    <row r="779" ht="12.75" customHeight="1">
      <c r="P779" s="100"/>
    </row>
    <row r="780" ht="12.75" customHeight="1">
      <c r="P780" s="100"/>
    </row>
    <row r="781" ht="12.75" customHeight="1">
      <c r="P781" s="100"/>
    </row>
    <row r="782" ht="12.75" customHeight="1">
      <c r="P782" s="100"/>
    </row>
    <row r="783" ht="12.75" customHeight="1">
      <c r="P783" s="100"/>
    </row>
    <row r="784" ht="12.75" customHeight="1">
      <c r="P784" s="100"/>
    </row>
    <row r="785" ht="12.75" customHeight="1">
      <c r="P785" s="100"/>
    </row>
    <row r="786" ht="12.75" customHeight="1">
      <c r="P786" s="100"/>
    </row>
    <row r="787" ht="12.75" customHeight="1">
      <c r="P787" s="100"/>
    </row>
    <row r="788" ht="12.75" customHeight="1">
      <c r="P788" s="100"/>
    </row>
    <row r="789" ht="12.75" customHeight="1">
      <c r="P789" s="100"/>
    </row>
    <row r="790" ht="12.75" customHeight="1">
      <c r="P790" s="100"/>
    </row>
    <row r="791" ht="12.75" customHeight="1">
      <c r="P791" s="100"/>
    </row>
    <row r="792" ht="12.75" customHeight="1">
      <c r="P792" s="100"/>
    </row>
    <row r="793" ht="12.75" customHeight="1">
      <c r="P793" s="100"/>
    </row>
    <row r="794" ht="12.75" customHeight="1">
      <c r="P794" s="100"/>
    </row>
    <row r="795" ht="12.75" customHeight="1">
      <c r="P795" s="100"/>
    </row>
    <row r="796" ht="12.75" customHeight="1">
      <c r="P796" s="100"/>
    </row>
    <row r="797" ht="12.75" customHeight="1">
      <c r="P797" s="100"/>
    </row>
    <row r="798" ht="12.75" customHeight="1">
      <c r="P798" s="100"/>
    </row>
    <row r="799" ht="12.75" customHeight="1">
      <c r="P799" s="100"/>
    </row>
    <row r="800" ht="12.75" customHeight="1">
      <c r="P800" s="100"/>
    </row>
    <row r="801" ht="12.75" customHeight="1">
      <c r="P801" s="100"/>
    </row>
    <row r="802" ht="12.75" customHeight="1">
      <c r="P802" s="100"/>
    </row>
    <row r="803" ht="12.75" customHeight="1">
      <c r="P803" s="100"/>
    </row>
    <row r="804" ht="12.75" customHeight="1">
      <c r="P804" s="100"/>
    </row>
    <row r="805" ht="12.75" customHeight="1">
      <c r="P805" s="100"/>
    </row>
    <row r="806" ht="12.75" customHeight="1">
      <c r="P806" s="100"/>
    </row>
    <row r="807" ht="12.75" customHeight="1">
      <c r="P807" s="100"/>
    </row>
    <row r="808" ht="12.75" customHeight="1">
      <c r="P808" s="100"/>
    </row>
    <row r="809" ht="12.75" customHeight="1">
      <c r="P809" s="100"/>
    </row>
    <row r="810" ht="12.75" customHeight="1">
      <c r="P810" s="100"/>
    </row>
    <row r="811" ht="12.75" customHeight="1">
      <c r="P811" s="100"/>
    </row>
    <row r="812" ht="12.75" customHeight="1">
      <c r="P812" s="100"/>
    </row>
    <row r="813" ht="12.75" customHeight="1">
      <c r="P813" s="100"/>
    </row>
    <row r="814" ht="12.75" customHeight="1">
      <c r="P814" s="100"/>
    </row>
    <row r="815" ht="12.75" customHeight="1">
      <c r="P815" s="100"/>
    </row>
    <row r="816" ht="12.75" customHeight="1">
      <c r="P816" s="100"/>
    </row>
    <row r="817" ht="12.75" customHeight="1">
      <c r="P817" s="100"/>
    </row>
    <row r="818" ht="12.75" customHeight="1">
      <c r="P818" s="100"/>
    </row>
    <row r="819" ht="12.75" customHeight="1">
      <c r="P819" s="100"/>
    </row>
    <row r="820" ht="12.75" customHeight="1">
      <c r="P820" s="100"/>
    </row>
    <row r="821" ht="12.75" customHeight="1">
      <c r="P821" s="100"/>
    </row>
    <row r="822" ht="12.75" customHeight="1">
      <c r="P822" s="100"/>
    </row>
    <row r="823" ht="12.75" customHeight="1">
      <c r="P823" s="100"/>
    </row>
    <row r="824" ht="12.75" customHeight="1">
      <c r="P824" s="100"/>
    </row>
    <row r="825" ht="12.75" customHeight="1">
      <c r="P825" s="100"/>
    </row>
    <row r="826" ht="12.75" customHeight="1">
      <c r="P826" s="100"/>
    </row>
    <row r="827" ht="12.75" customHeight="1">
      <c r="P827" s="100"/>
    </row>
    <row r="828" ht="12.75" customHeight="1">
      <c r="P828" s="100"/>
    </row>
    <row r="829" ht="12.75" customHeight="1">
      <c r="P829" s="100"/>
    </row>
    <row r="830" ht="12.75" customHeight="1">
      <c r="P830" s="100"/>
    </row>
    <row r="831" ht="12.75" customHeight="1">
      <c r="P831" s="100"/>
    </row>
    <row r="832" ht="12.75" customHeight="1">
      <c r="P832" s="100"/>
    </row>
    <row r="833" ht="12.75" customHeight="1">
      <c r="P833" s="100"/>
    </row>
    <row r="834" ht="12.75" customHeight="1">
      <c r="P834" s="100"/>
    </row>
    <row r="835" ht="12.75" customHeight="1">
      <c r="P835" s="100"/>
    </row>
    <row r="836" ht="12.75" customHeight="1">
      <c r="P836" s="100"/>
    </row>
    <row r="837" ht="12.75" customHeight="1">
      <c r="P837" s="100"/>
    </row>
    <row r="838" ht="12.75" customHeight="1">
      <c r="P838" s="100"/>
    </row>
    <row r="839" ht="12.75" customHeight="1">
      <c r="P839" s="100"/>
    </row>
    <row r="840" ht="12.75" customHeight="1">
      <c r="P840" s="100"/>
    </row>
    <row r="841" ht="12.75" customHeight="1">
      <c r="P841" s="100"/>
    </row>
    <row r="842" ht="12.75" customHeight="1">
      <c r="P842" s="100"/>
    </row>
    <row r="843" ht="12.75" customHeight="1">
      <c r="P843" s="100"/>
    </row>
    <row r="844" ht="12.75" customHeight="1">
      <c r="P844" s="100"/>
    </row>
    <row r="845" ht="12.75" customHeight="1">
      <c r="P845" s="100"/>
    </row>
    <row r="846" ht="12.75" customHeight="1">
      <c r="P846" s="100"/>
    </row>
    <row r="847" ht="12.75" customHeight="1">
      <c r="P847" s="100"/>
    </row>
    <row r="848" ht="12.75" customHeight="1">
      <c r="P848" s="100"/>
    </row>
    <row r="849" ht="12.75" customHeight="1">
      <c r="P849" s="100"/>
    </row>
    <row r="850" ht="12.75" customHeight="1">
      <c r="P850" s="100"/>
    </row>
    <row r="851" ht="12.75" customHeight="1">
      <c r="P851" s="100"/>
    </row>
    <row r="852" ht="12.75" customHeight="1">
      <c r="P852" s="100"/>
    </row>
    <row r="853" ht="12.75" customHeight="1">
      <c r="P853" s="100"/>
    </row>
    <row r="854" ht="12.75" customHeight="1">
      <c r="P854" s="100"/>
    </row>
    <row r="855" ht="12.75" customHeight="1">
      <c r="P855" s="100"/>
    </row>
    <row r="856" ht="12.75" customHeight="1">
      <c r="P856" s="100"/>
    </row>
    <row r="857" ht="12.75" customHeight="1">
      <c r="P857" s="100"/>
    </row>
    <row r="858" ht="12.75" customHeight="1">
      <c r="P858" s="100"/>
    </row>
    <row r="859" ht="12.75" customHeight="1">
      <c r="P859" s="100"/>
    </row>
    <row r="860" ht="12.75" customHeight="1">
      <c r="P860" s="100"/>
    </row>
    <row r="861" ht="12.75" customHeight="1">
      <c r="P861" s="100"/>
    </row>
    <row r="862" ht="12.75" customHeight="1">
      <c r="P862" s="100"/>
    </row>
    <row r="863" ht="12.75" customHeight="1">
      <c r="P863" s="100"/>
    </row>
    <row r="864" ht="12.75" customHeight="1">
      <c r="P864" s="100"/>
    </row>
    <row r="865" ht="12.75" customHeight="1">
      <c r="P865" s="100"/>
    </row>
    <row r="866" ht="12.75" customHeight="1">
      <c r="P866" s="100"/>
    </row>
    <row r="867" ht="12.75" customHeight="1">
      <c r="P867" s="100"/>
    </row>
    <row r="868" ht="12.75" customHeight="1">
      <c r="P868" s="100"/>
    </row>
    <row r="869" ht="12.75" customHeight="1">
      <c r="P869" s="100"/>
    </row>
    <row r="870" ht="12.75" customHeight="1">
      <c r="P870" s="100"/>
    </row>
    <row r="871" ht="12.75" customHeight="1">
      <c r="P871" s="100"/>
    </row>
    <row r="872" ht="12.75" customHeight="1">
      <c r="P872" s="100"/>
    </row>
    <row r="873" ht="12.75" customHeight="1">
      <c r="P873" s="100"/>
    </row>
    <row r="874" ht="12.75" customHeight="1">
      <c r="P874" s="100"/>
    </row>
    <row r="875" ht="12.75" customHeight="1">
      <c r="P875" s="100"/>
    </row>
    <row r="876" ht="12.75" customHeight="1">
      <c r="P876" s="100"/>
    </row>
    <row r="877" ht="12.75" customHeight="1">
      <c r="P877" s="100"/>
    </row>
    <row r="878" ht="12.75" customHeight="1">
      <c r="P878" s="100"/>
    </row>
    <row r="879" ht="12.75" customHeight="1">
      <c r="P879" s="100"/>
    </row>
    <row r="880" ht="12.75" customHeight="1">
      <c r="P880" s="100"/>
    </row>
    <row r="881" ht="12.75" customHeight="1">
      <c r="P881" s="100"/>
    </row>
    <row r="882" ht="12.75" customHeight="1">
      <c r="P882" s="100"/>
    </row>
    <row r="883" ht="12.75" customHeight="1">
      <c r="P883" s="100"/>
    </row>
    <row r="884" ht="12.75" customHeight="1">
      <c r="P884" s="100"/>
    </row>
    <row r="885" ht="12.75" customHeight="1">
      <c r="P885" s="100"/>
    </row>
    <row r="886" ht="12.75" customHeight="1">
      <c r="P886" s="100"/>
    </row>
    <row r="887" ht="12.75" customHeight="1">
      <c r="P887" s="100"/>
    </row>
    <row r="888" ht="12.75" customHeight="1">
      <c r="P888" s="100"/>
    </row>
    <row r="889" ht="12.75" customHeight="1">
      <c r="P889" s="100"/>
    </row>
    <row r="890" ht="12.75" customHeight="1">
      <c r="P890" s="100"/>
    </row>
    <row r="891" ht="12.75" customHeight="1">
      <c r="P891" s="100"/>
    </row>
    <row r="892" ht="12.75" customHeight="1">
      <c r="P892" s="100"/>
    </row>
    <row r="893" ht="12.75" customHeight="1">
      <c r="P893" s="100"/>
    </row>
    <row r="894" ht="12.75" customHeight="1">
      <c r="P894" s="100"/>
    </row>
    <row r="895" ht="12.75" customHeight="1">
      <c r="P895" s="100"/>
    </row>
    <row r="896" ht="12.75" customHeight="1">
      <c r="P896" s="100"/>
    </row>
    <row r="897" ht="12.75" customHeight="1">
      <c r="P897" s="100"/>
    </row>
    <row r="898" ht="12.75" customHeight="1">
      <c r="P898" s="100"/>
    </row>
    <row r="899" ht="12.75" customHeight="1">
      <c r="P899" s="100"/>
    </row>
    <row r="900" ht="12.75" customHeight="1">
      <c r="P900" s="100"/>
    </row>
    <row r="901" ht="12.75" customHeight="1">
      <c r="P901" s="100"/>
    </row>
    <row r="902" ht="12.75" customHeight="1">
      <c r="P902" s="100"/>
    </row>
    <row r="903" ht="12.75" customHeight="1">
      <c r="P903" s="100"/>
    </row>
    <row r="904" ht="12.75" customHeight="1">
      <c r="P904" s="100"/>
    </row>
    <row r="905" ht="12.75" customHeight="1">
      <c r="P905" s="100"/>
    </row>
    <row r="906" ht="12.75" customHeight="1">
      <c r="P906" s="100"/>
    </row>
    <row r="907" ht="12.75" customHeight="1">
      <c r="P907" s="100"/>
    </row>
    <row r="908" ht="12.75" customHeight="1">
      <c r="P908" s="100"/>
    </row>
    <row r="909" ht="12.75" customHeight="1">
      <c r="P909" s="100"/>
    </row>
    <row r="910" ht="12.75" customHeight="1">
      <c r="P910" s="100"/>
    </row>
    <row r="911" ht="12.75" customHeight="1">
      <c r="P911" s="100"/>
    </row>
    <row r="912" ht="12.75" customHeight="1">
      <c r="P912" s="100"/>
    </row>
    <row r="913" ht="12.75" customHeight="1">
      <c r="P913" s="100"/>
    </row>
    <row r="914" ht="12.75" customHeight="1">
      <c r="P914" s="100"/>
    </row>
    <row r="915" ht="12.75" customHeight="1">
      <c r="P915" s="100"/>
    </row>
    <row r="916" ht="12.75" customHeight="1">
      <c r="P916" s="100"/>
    </row>
    <row r="917" ht="12.75" customHeight="1">
      <c r="P917" s="100"/>
    </row>
    <row r="918" ht="12.75" customHeight="1">
      <c r="P918" s="100"/>
    </row>
    <row r="919" ht="12.75" customHeight="1">
      <c r="P919" s="100"/>
    </row>
    <row r="920" ht="12.75" customHeight="1">
      <c r="P920" s="100"/>
    </row>
    <row r="921" ht="12.75" customHeight="1">
      <c r="P921" s="100"/>
    </row>
    <row r="922" ht="12.75" customHeight="1">
      <c r="P922" s="100"/>
    </row>
    <row r="923" ht="12.75" customHeight="1">
      <c r="P923" s="100"/>
    </row>
    <row r="924" ht="12.75" customHeight="1">
      <c r="P924" s="100"/>
    </row>
    <row r="925" ht="12.75" customHeight="1">
      <c r="P925" s="100"/>
    </row>
    <row r="926" ht="12.75" customHeight="1">
      <c r="P926" s="100"/>
    </row>
    <row r="927" ht="12.75" customHeight="1">
      <c r="P927" s="100"/>
    </row>
    <row r="928" ht="12.75" customHeight="1">
      <c r="P928" s="100"/>
    </row>
    <row r="929" ht="12.75" customHeight="1">
      <c r="P929" s="100"/>
    </row>
    <row r="930" ht="12.75" customHeight="1">
      <c r="P930" s="100"/>
    </row>
    <row r="931" ht="12.75" customHeight="1">
      <c r="P931" s="100"/>
    </row>
    <row r="932" ht="12.75" customHeight="1">
      <c r="P932" s="100"/>
    </row>
    <row r="933" ht="12.75" customHeight="1">
      <c r="P933" s="100"/>
    </row>
    <row r="934" ht="12.75" customHeight="1">
      <c r="P934" s="100"/>
    </row>
    <row r="935" ht="12.75" customHeight="1">
      <c r="P935" s="100"/>
    </row>
    <row r="936" ht="12.75" customHeight="1">
      <c r="P936" s="100"/>
    </row>
    <row r="937" ht="12.75" customHeight="1">
      <c r="P937" s="100"/>
    </row>
    <row r="938" ht="12.75" customHeight="1">
      <c r="P938" s="100"/>
    </row>
    <row r="939" ht="12.75" customHeight="1">
      <c r="P939" s="100"/>
    </row>
    <row r="940" ht="12.75" customHeight="1">
      <c r="P940" s="100"/>
    </row>
    <row r="941" ht="12.75" customHeight="1">
      <c r="P941" s="100"/>
    </row>
    <row r="942" ht="12.75" customHeight="1">
      <c r="P942" s="100"/>
    </row>
    <row r="943" ht="12.75" customHeight="1">
      <c r="P943" s="100"/>
    </row>
    <row r="944" ht="12.75" customHeight="1">
      <c r="P944" s="100"/>
    </row>
    <row r="945" ht="12.75" customHeight="1">
      <c r="P945" s="100"/>
    </row>
    <row r="946" ht="12.75" customHeight="1">
      <c r="P946" s="100"/>
    </row>
    <row r="947" ht="12.75" customHeight="1">
      <c r="P947" s="100"/>
    </row>
    <row r="948" ht="12.75" customHeight="1">
      <c r="P948" s="100"/>
    </row>
    <row r="949" ht="12.75" customHeight="1">
      <c r="P949" s="100"/>
    </row>
    <row r="950" ht="12.75" customHeight="1">
      <c r="P950" s="100"/>
    </row>
    <row r="951" ht="12.75" customHeight="1">
      <c r="P951" s="100"/>
    </row>
    <row r="952" ht="12.75" customHeight="1">
      <c r="P952" s="100"/>
    </row>
    <row r="953" ht="12.75" customHeight="1">
      <c r="P953" s="100"/>
    </row>
    <row r="954" ht="12.75" customHeight="1">
      <c r="P954" s="100"/>
    </row>
    <row r="955" ht="12.75" customHeight="1">
      <c r="P955" s="100"/>
    </row>
    <row r="956" ht="12.75" customHeight="1">
      <c r="P956" s="100"/>
    </row>
    <row r="957" ht="12.75" customHeight="1">
      <c r="P957" s="100"/>
    </row>
    <row r="958" ht="12.75" customHeight="1">
      <c r="P958" s="100"/>
    </row>
    <row r="959" ht="12.75" customHeight="1">
      <c r="P959" s="100"/>
    </row>
    <row r="960" ht="12.75" customHeight="1">
      <c r="P960" s="100"/>
    </row>
    <row r="961" ht="12.75" customHeight="1">
      <c r="P961" s="100"/>
    </row>
    <row r="962" ht="12.75" customHeight="1">
      <c r="P962" s="100"/>
    </row>
    <row r="963" ht="12.75" customHeight="1">
      <c r="P963" s="100"/>
    </row>
    <row r="964" ht="12.75" customHeight="1">
      <c r="P964" s="100"/>
    </row>
    <row r="965" ht="12.75" customHeight="1">
      <c r="P965" s="100"/>
    </row>
    <row r="966" ht="12.75" customHeight="1">
      <c r="P966" s="100"/>
    </row>
    <row r="967" ht="12.75" customHeight="1">
      <c r="P967" s="100"/>
    </row>
    <row r="968" ht="12.75" customHeight="1">
      <c r="P968" s="100"/>
    </row>
    <row r="969" ht="12.75" customHeight="1">
      <c r="P969" s="100"/>
    </row>
    <row r="970" ht="12.75" customHeight="1">
      <c r="P970" s="100"/>
    </row>
    <row r="971" ht="12.75" customHeight="1">
      <c r="P971" s="100"/>
    </row>
    <row r="972" ht="12.75" customHeight="1">
      <c r="P972" s="100"/>
    </row>
    <row r="973" ht="12.75" customHeight="1">
      <c r="P973" s="100"/>
    </row>
    <row r="974" ht="12.75" customHeight="1">
      <c r="P974" s="100"/>
    </row>
    <row r="975" ht="12.75" customHeight="1">
      <c r="P975" s="100"/>
    </row>
    <row r="976" ht="12.75" customHeight="1">
      <c r="P976" s="100"/>
    </row>
    <row r="977" ht="12.75" customHeight="1">
      <c r="P977" s="100"/>
    </row>
    <row r="978" ht="12.75" customHeight="1">
      <c r="P978" s="100"/>
    </row>
    <row r="979" ht="12.75" customHeight="1">
      <c r="P979" s="100"/>
    </row>
    <row r="980" ht="12.75" customHeight="1">
      <c r="P980" s="100"/>
    </row>
    <row r="981" ht="12.75" customHeight="1">
      <c r="P981" s="100"/>
    </row>
    <row r="982" ht="12.75" customHeight="1">
      <c r="P982" s="100"/>
    </row>
    <row r="983" ht="12.75" customHeight="1">
      <c r="P983" s="100"/>
    </row>
    <row r="984" ht="12.75" customHeight="1">
      <c r="P984" s="100"/>
    </row>
    <row r="985" ht="12.75" customHeight="1">
      <c r="P985" s="100"/>
    </row>
    <row r="986" ht="12.75" customHeight="1">
      <c r="P986" s="100"/>
    </row>
    <row r="987" ht="12.75" customHeight="1">
      <c r="P987" s="100"/>
    </row>
    <row r="988" ht="12.75" customHeight="1">
      <c r="P988" s="100"/>
    </row>
    <row r="989" ht="12.75" customHeight="1">
      <c r="P989" s="100"/>
    </row>
    <row r="990" ht="12.75" customHeight="1">
      <c r="P990" s="100"/>
    </row>
    <row r="991" ht="12.75" customHeight="1">
      <c r="P991" s="100"/>
    </row>
    <row r="992" ht="12.75" customHeight="1">
      <c r="P992" s="100"/>
    </row>
    <row r="993" ht="12.75" customHeight="1">
      <c r="P993" s="100"/>
    </row>
    <row r="994" ht="12.75" customHeight="1">
      <c r="P994" s="100"/>
    </row>
    <row r="995" ht="12.75" customHeight="1">
      <c r="P995" s="100"/>
    </row>
    <row r="996" ht="12.75" customHeight="1">
      <c r="P996" s="100"/>
    </row>
    <row r="997" ht="12.75" customHeight="1">
      <c r="P997" s="100"/>
    </row>
    <row r="998" ht="12.75" customHeight="1">
      <c r="P998" s="100"/>
    </row>
    <row r="999" ht="12.75" customHeight="1">
      <c r="P999" s="100"/>
    </row>
    <row r="1000" ht="12.75" customHeight="1">
      <c r="P1000" s="100"/>
    </row>
    <row r="1001" ht="12.75" customHeight="1">
      <c r="P1001" s="100"/>
    </row>
    <row r="1002" ht="12.75" customHeight="1">
      <c r="P1002" s="100"/>
    </row>
    <row r="1003" ht="12.75" customHeight="1">
      <c r="P1003" s="100"/>
    </row>
    <row r="1004" ht="12.75" customHeight="1">
      <c r="P1004" s="100"/>
    </row>
    <row r="1005" ht="12.75" customHeight="1">
      <c r="P1005" s="100"/>
    </row>
    <row r="1006" ht="12.75" customHeight="1">
      <c r="P1006" s="100"/>
    </row>
    <row r="1007" ht="12.75" customHeight="1">
      <c r="P1007" s="100"/>
    </row>
    <row r="1008" ht="12.75" customHeight="1">
      <c r="P1008" s="100"/>
    </row>
    <row r="1009" ht="12.75" customHeight="1">
      <c r="P1009" s="100"/>
    </row>
    <row r="1010" ht="12.75" customHeight="1">
      <c r="P1010" s="100"/>
    </row>
    <row r="1011" ht="12.75" customHeight="1">
      <c r="P1011" s="100"/>
    </row>
    <row r="1012" ht="12.75" customHeight="1">
      <c r="P1012" s="100"/>
    </row>
    <row r="1013" ht="12.75" customHeight="1">
      <c r="P1013" s="100"/>
    </row>
    <row r="1014" ht="12.75" customHeight="1">
      <c r="P1014" s="100"/>
    </row>
    <row r="1015" ht="12.75" customHeight="1">
      <c r="P1015" s="100"/>
    </row>
    <row r="1016" ht="12.75" customHeight="1">
      <c r="P1016" s="100"/>
    </row>
    <row r="1017" ht="12.75" customHeight="1">
      <c r="P1017" s="100"/>
    </row>
    <row r="1018" ht="12.75" customHeight="1">
      <c r="P1018" s="100"/>
    </row>
    <row r="1019" ht="12.75" customHeight="1">
      <c r="P1019" s="100"/>
    </row>
    <row r="1020" ht="12.75" customHeight="1">
      <c r="P1020" s="100"/>
    </row>
    <row r="1021" ht="12.75" customHeight="1">
      <c r="P1021" s="100"/>
    </row>
    <row r="1022" ht="12.75" customHeight="1">
      <c r="P1022" s="100"/>
    </row>
    <row r="1023" ht="12.75" customHeight="1">
      <c r="P1023" s="100"/>
    </row>
    <row r="1024" ht="12.75" customHeight="1">
      <c r="P1024" s="100"/>
    </row>
    <row r="1025" ht="12.75" customHeight="1">
      <c r="P1025" s="100"/>
    </row>
    <row r="1026" ht="12.75" customHeight="1">
      <c r="P1026" s="100"/>
    </row>
    <row r="1027" ht="12.75" customHeight="1">
      <c r="P1027" s="100"/>
    </row>
    <row r="1028" ht="12.75" customHeight="1">
      <c r="P1028" s="100"/>
    </row>
    <row r="1029" ht="12.75" customHeight="1">
      <c r="P1029" s="100"/>
    </row>
    <row r="1030" ht="12.75" customHeight="1">
      <c r="P1030" s="100"/>
    </row>
    <row r="1031" ht="12.75" customHeight="1">
      <c r="P1031" s="100"/>
    </row>
    <row r="1032" ht="12.75" customHeight="1">
      <c r="P1032" s="100"/>
    </row>
    <row r="1033" ht="12.75" customHeight="1">
      <c r="P1033" s="100"/>
    </row>
    <row r="1034" ht="12.75" customHeight="1">
      <c r="P1034" s="100"/>
    </row>
    <row r="1035" ht="12.75" customHeight="1">
      <c r="P1035" s="100"/>
    </row>
    <row r="1036" ht="12.75" customHeight="1">
      <c r="P1036" s="100"/>
    </row>
    <row r="1037" ht="12.75" customHeight="1">
      <c r="P1037" s="100"/>
    </row>
    <row r="1038" ht="12.75" customHeight="1">
      <c r="P1038" s="100"/>
    </row>
    <row r="1039" ht="12.75" customHeight="1">
      <c r="P1039" s="100"/>
    </row>
    <row r="1040" ht="12.75" customHeight="1">
      <c r="P1040" s="100"/>
    </row>
    <row r="1041" ht="12.75" customHeight="1">
      <c r="P1041" s="100"/>
    </row>
    <row r="1042" ht="12.75" customHeight="1">
      <c r="P1042" s="100"/>
    </row>
    <row r="1043" ht="12.75" customHeight="1">
      <c r="P1043" s="100"/>
    </row>
    <row r="1044" ht="12.75" customHeight="1">
      <c r="P1044" s="100"/>
    </row>
    <row r="1045" ht="12.75" customHeight="1">
      <c r="P1045" s="100"/>
    </row>
    <row r="1046" ht="12.75" customHeight="1">
      <c r="P1046" s="100"/>
    </row>
    <row r="1047" ht="12.75" customHeight="1">
      <c r="P1047" s="100"/>
    </row>
    <row r="1048" ht="12.75" customHeight="1">
      <c r="P1048" s="100"/>
    </row>
    <row r="1049" ht="12.75" customHeight="1">
      <c r="P1049" s="100"/>
    </row>
    <row r="1050" ht="12.75" customHeight="1">
      <c r="P1050" s="100"/>
    </row>
    <row r="1051" ht="12.75" customHeight="1">
      <c r="P1051" s="100"/>
    </row>
    <row r="1052" ht="12.75" customHeight="1">
      <c r="P1052" s="100"/>
    </row>
    <row r="1053" ht="12.75" customHeight="1">
      <c r="P1053" s="100"/>
    </row>
    <row r="1054" ht="12.75" customHeight="1">
      <c r="P1054" s="100"/>
    </row>
    <row r="1055" ht="12.75" customHeight="1">
      <c r="P1055" s="100"/>
    </row>
    <row r="1056" ht="12.75" customHeight="1">
      <c r="P1056" s="100"/>
    </row>
    <row r="1057" ht="12.75" customHeight="1">
      <c r="P1057" s="100"/>
    </row>
    <row r="1058" ht="12.75" customHeight="1">
      <c r="P1058" s="100"/>
    </row>
    <row r="1059" ht="12.75" customHeight="1">
      <c r="P1059" s="100"/>
    </row>
    <row r="1060" ht="12.75" customHeight="1">
      <c r="P1060" s="100"/>
    </row>
    <row r="1061" ht="12.75" customHeight="1">
      <c r="P1061" s="100"/>
    </row>
    <row r="1062" ht="12.75" customHeight="1">
      <c r="P1062" s="100"/>
    </row>
    <row r="1063" ht="12.75" customHeight="1">
      <c r="P1063" s="100"/>
    </row>
    <row r="1064" ht="12.75" customHeight="1">
      <c r="P1064" s="100"/>
    </row>
    <row r="1065" ht="12.75" customHeight="1">
      <c r="P1065" s="100"/>
    </row>
    <row r="1066" ht="12.75" customHeight="1">
      <c r="P1066" s="100"/>
    </row>
    <row r="1067" ht="12.75" customHeight="1">
      <c r="P1067" s="100"/>
    </row>
  </sheetData>
  <mergeCells count="35">
    <mergeCell ref="A10:O10"/>
    <mergeCell ref="A11:B11"/>
    <mergeCell ref="A12:B12"/>
    <mergeCell ref="A14:B14"/>
    <mergeCell ref="A15:B15"/>
    <mergeCell ref="A16:B16"/>
    <mergeCell ref="A17:B17"/>
    <mergeCell ref="A27:O27"/>
    <mergeCell ref="A28:B28"/>
    <mergeCell ref="A29:B29"/>
    <mergeCell ref="A31:B31"/>
    <mergeCell ref="A32:B32"/>
    <mergeCell ref="A33:B33"/>
    <mergeCell ref="A34:B34"/>
    <mergeCell ref="A42:O42"/>
    <mergeCell ref="A43:B43"/>
    <mergeCell ref="A44:B44"/>
    <mergeCell ref="A46:B46"/>
    <mergeCell ref="A47:B47"/>
    <mergeCell ref="A48:B48"/>
    <mergeCell ref="A49:B49"/>
    <mergeCell ref="A74:O74"/>
    <mergeCell ref="A75:B75"/>
    <mergeCell ref="A76:B76"/>
    <mergeCell ref="A78:B78"/>
    <mergeCell ref="A79:B79"/>
    <mergeCell ref="A80:B80"/>
    <mergeCell ref="A81:B81"/>
    <mergeCell ref="A58:O58"/>
    <mergeCell ref="A59:B59"/>
    <mergeCell ref="A60:B60"/>
    <mergeCell ref="A62:B62"/>
    <mergeCell ref="A63:B63"/>
    <mergeCell ref="A64:B64"/>
    <mergeCell ref="A65:B65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9966"/>
    <pageSetUpPr/>
  </sheetPr>
  <sheetViews>
    <sheetView workbookViewId="0"/>
  </sheetViews>
  <sheetFormatPr customHeight="1" defaultColWidth="12.63" defaultRowHeight="15.0"/>
  <cols>
    <col customWidth="1" min="1" max="1" width="45.75"/>
    <col customWidth="1" min="2" max="2" width="10.5"/>
    <col customWidth="1" min="3" max="3" width="8.0"/>
    <col customWidth="1" min="4" max="4" width="12.25"/>
    <col customWidth="1" min="5" max="5" width="11.38"/>
    <col customWidth="1" min="6" max="6" width="21.63"/>
    <col customWidth="1" min="7" max="26" width="8.0"/>
  </cols>
  <sheetData>
    <row r="1" ht="18.0" customHeight="1">
      <c r="A1" s="169" t="s">
        <v>108</v>
      </c>
    </row>
    <row r="2" ht="12.75" customHeight="1"/>
    <row r="3" ht="18.0" customHeight="1">
      <c r="A3" s="2" t="s">
        <v>109</v>
      </c>
    </row>
    <row r="4" ht="12.75" customHeight="1"/>
    <row r="5" ht="15.75" customHeight="1">
      <c r="A5" s="6" t="s">
        <v>14</v>
      </c>
      <c r="B5" s="7"/>
    </row>
    <row r="6" ht="15.75" customHeight="1">
      <c r="A6" s="6" t="s">
        <v>15</v>
      </c>
      <c r="B6" s="7"/>
    </row>
    <row r="7" ht="15.75" customHeight="1">
      <c r="A7" s="6" t="s">
        <v>16</v>
      </c>
      <c r="B7" s="7"/>
    </row>
    <row r="8" ht="15.75" customHeight="1">
      <c r="A8" s="154" t="s">
        <v>110</v>
      </c>
      <c r="B8" s="85"/>
      <c r="C8" s="85"/>
      <c r="D8" s="85"/>
      <c r="E8" s="16"/>
      <c r="F8" s="170" t="s">
        <v>111</v>
      </c>
      <c r="G8" s="5"/>
      <c r="H8" s="5"/>
      <c r="I8" s="5"/>
    </row>
    <row r="9" ht="15.0" customHeight="1">
      <c r="A9" s="70"/>
      <c r="B9" s="32" t="s">
        <v>24</v>
      </c>
      <c r="C9" s="67" t="s">
        <v>112</v>
      </c>
      <c r="D9" s="27" t="s">
        <v>113</v>
      </c>
      <c r="E9" s="27" t="s">
        <v>26</v>
      </c>
      <c r="F9" s="171" t="s">
        <v>114</v>
      </c>
      <c r="G9" s="5"/>
      <c r="H9" s="5"/>
      <c r="I9" s="5"/>
    </row>
    <row r="10" ht="15.0" customHeight="1">
      <c r="A10" s="172" t="s">
        <v>115</v>
      </c>
      <c r="B10" s="24" t="s">
        <v>116</v>
      </c>
      <c r="C10" s="173">
        <v>50.0</v>
      </c>
      <c r="D10" s="38">
        <v>3400.0</v>
      </c>
      <c r="E10" s="27">
        <f t="shared" ref="E10:E12" si="1">C10*D10</f>
        <v>170000</v>
      </c>
      <c r="F10" s="174">
        <f t="shared" ref="F10:F12" si="2">E10*9</f>
        <v>1530000</v>
      </c>
      <c r="G10" s="5"/>
      <c r="H10" s="5"/>
      <c r="I10" s="5"/>
    </row>
    <row r="11" ht="15.0" customHeight="1">
      <c r="A11" s="175" t="s">
        <v>117</v>
      </c>
      <c r="B11" s="24" t="s">
        <v>116</v>
      </c>
      <c r="C11" s="173">
        <v>250.0</v>
      </c>
      <c r="D11" s="38">
        <v>140.0</v>
      </c>
      <c r="E11" s="27">
        <f t="shared" si="1"/>
        <v>35000</v>
      </c>
      <c r="F11" s="174">
        <f t="shared" si="2"/>
        <v>315000</v>
      </c>
      <c r="G11" s="5"/>
      <c r="H11" s="5"/>
      <c r="I11" s="5"/>
    </row>
    <row r="12" ht="15.0" customHeight="1">
      <c r="A12" s="172" t="s">
        <v>118</v>
      </c>
      <c r="B12" s="24" t="s">
        <v>34</v>
      </c>
      <c r="C12" s="173">
        <v>1.0</v>
      </c>
      <c r="D12" s="38">
        <v>10000.0</v>
      </c>
      <c r="E12" s="27">
        <f t="shared" si="1"/>
        <v>10000</v>
      </c>
      <c r="F12" s="174">
        <f t="shared" si="2"/>
        <v>90000</v>
      </c>
      <c r="G12" s="5"/>
      <c r="H12" s="5"/>
      <c r="I12" s="5"/>
    </row>
    <row r="13" ht="15.0" customHeight="1">
      <c r="A13" s="71"/>
      <c r="B13" s="32"/>
      <c r="C13" s="67"/>
      <c r="D13" s="27"/>
      <c r="E13" s="27"/>
      <c r="F13" s="174"/>
      <c r="G13" s="5"/>
      <c r="H13" s="5"/>
      <c r="I13" s="5"/>
    </row>
    <row r="14" ht="15.0" customHeight="1">
      <c r="A14" s="71"/>
      <c r="B14" s="32"/>
      <c r="C14" s="67"/>
      <c r="D14" s="27"/>
      <c r="E14" s="27"/>
      <c r="F14" s="174"/>
      <c r="G14" s="5"/>
      <c r="H14" s="5"/>
      <c r="I14" s="5"/>
    </row>
    <row r="15" ht="15.75" customHeight="1">
      <c r="A15" s="69" t="s">
        <v>52</v>
      </c>
      <c r="B15" s="32"/>
      <c r="C15" s="67"/>
      <c r="D15" s="27"/>
      <c r="E15" s="42">
        <f>SUM(E10:E12)</f>
        <v>215000</v>
      </c>
      <c r="F15" s="174">
        <f>E15*9</f>
        <v>1935000</v>
      </c>
      <c r="G15" s="5"/>
      <c r="H15" s="5"/>
      <c r="I15" s="5"/>
    </row>
    <row r="16" ht="15.75" customHeight="1">
      <c r="A16" s="7"/>
      <c r="B16" s="176"/>
      <c r="C16" s="177"/>
      <c r="D16" s="178"/>
      <c r="E16" s="179"/>
      <c r="F16" s="180"/>
      <c r="G16" s="5"/>
      <c r="H16" s="5"/>
      <c r="I16" s="5"/>
    </row>
    <row r="17" ht="15.75" customHeight="1">
      <c r="A17" s="7"/>
      <c r="B17" s="176"/>
      <c r="C17" s="177"/>
      <c r="D17" s="178"/>
      <c r="E17" s="179"/>
      <c r="F17" s="5"/>
      <c r="G17" s="5"/>
      <c r="H17" s="5"/>
      <c r="I17" s="5"/>
    </row>
    <row r="18" ht="15.75" customHeight="1">
      <c r="A18" s="8"/>
      <c r="F18" s="7"/>
      <c r="G18" s="5"/>
      <c r="H18" s="5"/>
      <c r="I18" s="5"/>
    </row>
    <row r="19" ht="15.0" customHeight="1">
      <c r="A19" s="5"/>
      <c r="B19" s="176"/>
      <c r="C19" s="177"/>
      <c r="D19" s="178"/>
      <c r="E19" s="178"/>
      <c r="F19" s="5"/>
      <c r="G19" s="5"/>
      <c r="H19" s="5"/>
      <c r="I19" s="5"/>
    </row>
    <row r="20" ht="15.0" customHeight="1">
      <c r="A20" s="5"/>
      <c r="B20" s="176"/>
      <c r="C20" s="177"/>
      <c r="D20" s="178"/>
      <c r="E20" s="178"/>
      <c r="F20" s="5"/>
      <c r="G20" s="5"/>
      <c r="H20" s="5"/>
      <c r="I20" s="5"/>
    </row>
    <row r="21" ht="15.75" customHeight="1">
      <c r="A21" s="7"/>
      <c r="B21" s="176"/>
      <c r="C21" s="177"/>
      <c r="D21" s="178"/>
      <c r="E21" s="179"/>
      <c r="F21" s="7"/>
      <c r="G21" s="5"/>
      <c r="H21" s="5"/>
      <c r="I21" s="5"/>
    </row>
    <row r="22" ht="15.75" customHeight="1">
      <c r="A22" s="5"/>
      <c r="B22" s="176"/>
      <c r="C22" s="177"/>
      <c r="D22" s="178"/>
      <c r="E22" s="179"/>
      <c r="F22" s="5"/>
      <c r="G22" s="5"/>
      <c r="H22" s="5"/>
      <c r="I22" s="5"/>
    </row>
    <row r="23" ht="15.75" customHeight="1">
      <c r="A23" s="7"/>
      <c r="B23" s="176"/>
      <c r="C23" s="177"/>
      <c r="D23" s="178"/>
      <c r="E23" s="179"/>
      <c r="F23" s="5"/>
      <c r="G23" s="5"/>
      <c r="H23" s="5"/>
      <c r="I23" s="5"/>
    </row>
    <row r="24" ht="15.75" customHeight="1">
      <c r="A24" s="7"/>
      <c r="B24" s="176"/>
      <c r="C24" s="177"/>
      <c r="D24" s="178"/>
      <c r="E24" s="179"/>
      <c r="F24" s="5"/>
      <c r="G24" s="5"/>
      <c r="H24" s="5"/>
      <c r="I24" s="5"/>
    </row>
    <row r="25" ht="15.75" customHeight="1">
      <c r="A25" s="7"/>
      <c r="B25" s="176"/>
      <c r="C25" s="177"/>
      <c r="D25" s="178"/>
      <c r="E25" s="179"/>
      <c r="F25" s="5"/>
      <c r="G25" s="5"/>
      <c r="H25" s="5"/>
      <c r="I25" s="5"/>
    </row>
    <row r="26" ht="15.0" customHeight="1">
      <c r="A26" s="5"/>
      <c r="B26" s="5"/>
      <c r="C26" s="5"/>
      <c r="D26" s="5"/>
      <c r="E26" s="5"/>
      <c r="F26" s="5"/>
      <c r="G26" s="5"/>
      <c r="H26" s="5"/>
      <c r="I26" s="5"/>
    </row>
    <row r="27" ht="15.0" customHeight="1">
      <c r="A27" s="5"/>
      <c r="B27" s="5"/>
      <c r="C27" s="5"/>
      <c r="D27" s="5"/>
      <c r="E27" s="5"/>
      <c r="F27" s="5"/>
      <c r="G27" s="5"/>
      <c r="H27" s="5"/>
      <c r="I27" s="5"/>
    </row>
    <row r="28" ht="15.75" customHeight="1">
      <c r="A28" s="8"/>
      <c r="F28" s="5"/>
      <c r="G28" s="5"/>
      <c r="H28" s="5"/>
      <c r="I28" s="5"/>
    </row>
    <row r="29" ht="15.0" customHeight="1">
      <c r="A29" s="5"/>
      <c r="B29" s="176"/>
      <c r="C29" s="176"/>
      <c r="D29" s="178"/>
      <c r="E29" s="178"/>
      <c r="F29" s="5"/>
      <c r="G29" s="5"/>
      <c r="H29" s="5"/>
      <c r="I29" s="5"/>
    </row>
    <row r="30" ht="15.0" customHeight="1">
      <c r="A30" s="5"/>
      <c r="B30" s="176"/>
      <c r="C30" s="176"/>
      <c r="D30" s="178"/>
      <c r="E30" s="178"/>
      <c r="F30" s="5"/>
      <c r="G30" s="5"/>
      <c r="H30" s="5"/>
      <c r="I30" s="5"/>
    </row>
    <row r="31" ht="15.0" customHeight="1">
      <c r="A31" s="5"/>
      <c r="B31" s="176"/>
      <c r="C31" s="176"/>
      <c r="D31" s="178"/>
      <c r="E31" s="178"/>
      <c r="F31" s="5"/>
      <c r="G31" s="5"/>
      <c r="H31" s="5"/>
      <c r="I31" s="5"/>
    </row>
    <row r="32" ht="15.75" customHeight="1">
      <c r="A32" s="7"/>
      <c r="B32" s="176"/>
      <c r="C32" s="176"/>
      <c r="D32" s="178"/>
      <c r="E32" s="179"/>
      <c r="F32" s="5"/>
      <c r="G32" s="5"/>
      <c r="H32" s="5"/>
      <c r="I32" s="5"/>
    </row>
    <row r="33" ht="15.0" customHeight="1">
      <c r="A33" s="5"/>
      <c r="B33" s="176"/>
      <c r="C33" s="176"/>
      <c r="D33" s="178"/>
      <c r="E33" s="178"/>
      <c r="F33" s="5"/>
      <c r="G33" s="5"/>
      <c r="H33" s="5"/>
      <c r="I33" s="5"/>
    </row>
    <row r="34" ht="15.75" customHeight="1">
      <c r="A34" s="7"/>
      <c r="B34" s="176"/>
      <c r="C34" s="176"/>
      <c r="D34" s="9"/>
      <c r="E34" s="179"/>
      <c r="F34" s="181"/>
      <c r="G34" s="5"/>
      <c r="H34" s="5"/>
      <c r="I34" s="5"/>
    </row>
    <row r="35" ht="15.0" customHeight="1">
      <c r="A35" s="5"/>
      <c r="B35" s="5"/>
      <c r="C35" s="5"/>
      <c r="D35" s="5"/>
      <c r="E35" s="5"/>
      <c r="F35" s="181"/>
      <c r="G35" s="5"/>
      <c r="H35" s="5"/>
      <c r="I35" s="5"/>
    </row>
    <row r="36" ht="15.0" customHeight="1">
      <c r="A36" s="5"/>
      <c r="B36" s="5"/>
      <c r="C36" s="5"/>
      <c r="D36" s="5"/>
      <c r="E36" s="5"/>
      <c r="F36" s="5"/>
      <c r="G36" s="5"/>
      <c r="H36" s="5"/>
      <c r="I36" s="5"/>
    </row>
    <row r="37" ht="15.0" customHeight="1">
      <c r="A37" s="5"/>
      <c r="B37" s="5"/>
      <c r="C37" s="5"/>
      <c r="D37" s="5"/>
      <c r="E37" s="5"/>
      <c r="F37" s="5"/>
      <c r="G37" s="5"/>
      <c r="H37" s="5"/>
      <c r="I37" s="5"/>
    </row>
    <row r="38" ht="15.0" customHeight="1">
      <c r="A38" s="5"/>
      <c r="B38" s="5"/>
      <c r="C38" s="5"/>
      <c r="D38" s="181"/>
      <c r="E38" s="5"/>
      <c r="F38" s="5"/>
      <c r="G38" s="5"/>
      <c r="H38" s="5"/>
      <c r="I38" s="5"/>
    </row>
    <row r="39" ht="15.0" customHeight="1">
      <c r="A39" s="5"/>
      <c r="B39" s="5"/>
      <c r="C39" s="5"/>
      <c r="D39" s="5"/>
      <c r="E39" s="5"/>
      <c r="F39" s="5"/>
      <c r="G39" s="5"/>
      <c r="H39" s="5"/>
      <c r="I39" s="5"/>
    </row>
    <row r="40" ht="15.0" customHeight="1">
      <c r="A40" s="5"/>
      <c r="B40" s="5"/>
      <c r="C40" s="5"/>
      <c r="D40" s="5"/>
      <c r="E40" s="5"/>
      <c r="F40" s="5"/>
      <c r="G40" s="5"/>
      <c r="H40" s="5"/>
      <c r="I40" s="5"/>
    </row>
    <row r="41" ht="15.0" customHeight="1">
      <c r="A41" s="5"/>
      <c r="B41" s="5"/>
      <c r="C41" s="5"/>
      <c r="D41" s="5"/>
      <c r="E41" s="5"/>
      <c r="F41" s="5"/>
      <c r="G41" s="5"/>
      <c r="H41" s="5"/>
      <c r="I41" s="5"/>
    </row>
    <row r="42" ht="15.75" customHeight="1">
      <c r="A42" s="182"/>
      <c r="F42" s="5"/>
      <c r="G42" s="5"/>
      <c r="H42" s="5"/>
      <c r="I42" s="5"/>
    </row>
    <row r="43" ht="15.0" customHeight="1">
      <c r="A43" s="183"/>
      <c r="B43" s="5"/>
      <c r="C43" s="184"/>
      <c r="D43" s="185"/>
      <c r="E43" s="185"/>
      <c r="F43" s="5"/>
      <c r="G43" s="5"/>
      <c r="H43" s="5"/>
      <c r="I43" s="5"/>
    </row>
    <row r="44" ht="15.0" customHeight="1">
      <c r="A44" s="183"/>
      <c r="B44" s="5"/>
      <c r="C44" s="5"/>
      <c r="D44" s="186"/>
      <c r="E44" s="185"/>
      <c r="F44" s="5"/>
      <c r="G44" s="5"/>
      <c r="H44" s="5"/>
      <c r="I44" s="5"/>
    </row>
    <row r="45" ht="15.0" customHeight="1">
      <c r="A45" s="183"/>
      <c r="B45" s="5"/>
      <c r="C45" s="5"/>
      <c r="D45" s="186"/>
      <c r="E45" s="185"/>
      <c r="F45" s="5"/>
      <c r="G45" s="5"/>
      <c r="H45" s="5"/>
      <c r="I45" s="5"/>
    </row>
    <row r="46" ht="15.0" customHeight="1">
      <c r="A46" s="183"/>
      <c r="B46" s="5"/>
      <c r="C46" s="5"/>
      <c r="D46" s="186"/>
      <c r="E46" s="185"/>
      <c r="F46" s="5"/>
      <c r="G46" s="5"/>
      <c r="H46" s="5"/>
      <c r="I46" s="5"/>
    </row>
    <row r="47" ht="15.0" customHeight="1">
      <c r="A47" s="183"/>
      <c r="B47" s="5"/>
      <c r="C47" s="5"/>
      <c r="D47" s="186"/>
      <c r="E47" s="185"/>
      <c r="F47" s="5"/>
      <c r="G47" s="5"/>
      <c r="H47" s="5"/>
      <c r="I47" s="5"/>
    </row>
    <row r="48" ht="15.0" customHeight="1">
      <c r="A48" s="183"/>
      <c r="B48" s="5"/>
      <c r="C48" s="5"/>
      <c r="D48" s="186"/>
      <c r="E48" s="185"/>
      <c r="F48" s="5"/>
      <c r="G48" s="5"/>
      <c r="H48" s="5"/>
      <c r="I48" s="5"/>
    </row>
    <row r="49" ht="15.0" customHeight="1">
      <c r="A49" s="183"/>
      <c r="B49" s="5"/>
      <c r="C49" s="5"/>
      <c r="D49" s="186"/>
      <c r="E49" s="185"/>
      <c r="F49" s="5"/>
      <c r="G49" s="5"/>
      <c r="H49" s="5"/>
      <c r="I49" s="5"/>
    </row>
    <row r="50" ht="15.0" customHeight="1">
      <c r="A50" s="183"/>
      <c r="B50" s="5"/>
      <c r="C50" s="184"/>
      <c r="D50" s="186"/>
      <c r="E50" s="185"/>
      <c r="F50" s="5"/>
      <c r="G50" s="5"/>
      <c r="H50" s="5"/>
      <c r="I50" s="5"/>
    </row>
    <row r="51" ht="15.0" customHeight="1">
      <c r="A51" s="183"/>
      <c r="B51" s="5"/>
      <c r="C51" s="5"/>
      <c r="D51" s="186"/>
      <c r="E51" s="185"/>
      <c r="F51" s="5"/>
      <c r="G51" s="5"/>
      <c r="H51" s="5"/>
      <c r="I51" s="5"/>
    </row>
    <row r="52" ht="15.0" customHeight="1">
      <c r="A52" s="183"/>
      <c r="B52" s="5"/>
      <c r="C52" s="5"/>
      <c r="D52" s="5"/>
      <c r="E52" s="185"/>
      <c r="F52" s="5"/>
      <c r="G52" s="5"/>
      <c r="H52" s="5"/>
      <c r="I52" s="5"/>
    </row>
    <row r="53" ht="15.0" customHeight="1">
      <c r="A53" s="183"/>
      <c r="B53" s="5"/>
      <c r="C53" s="5"/>
      <c r="D53" s="5"/>
      <c r="E53" s="185"/>
      <c r="F53" s="5"/>
      <c r="G53" s="5"/>
      <c r="H53" s="5"/>
      <c r="I53" s="5"/>
    </row>
    <row r="54" ht="15.0" customHeight="1">
      <c r="A54" s="183"/>
      <c r="B54" s="5"/>
      <c r="C54" s="5"/>
      <c r="D54" s="5"/>
      <c r="E54" s="185"/>
      <c r="F54" s="5"/>
      <c r="G54" s="5"/>
      <c r="H54" s="5"/>
      <c r="I54" s="5"/>
    </row>
    <row r="55" ht="15.75" customHeight="1">
      <c r="A55" s="182"/>
      <c r="B55" s="5"/>
      <c r="C55" s="5"/>
      <c r="D55" s="5"/>
      <c r="E55" s="187"/>
      <c r="F55" s="5"/>
      <c r="G55" s="5"/>
      <c r="H55" s="5"/>
      <c r="I55" s="5"/>
    </row>
    <row r="56" ht="15.0" customHeight="1">
      <c r="A56" s="188"/>
      <c r="B56" s="5"/>
      <c r="C56" s="5"/>
      <c r="D56" s="5"/>
      <c r="E56" s="5"/>
      <c r="F56" s="5"/>
      <c r="G56" s="5"/>
      <c r="H56" s="5"/>
      <c r="I56" s="5"/>
    </row>
    <row r="57" ht="15.0" customHeight="1">
      <c r="A57" s="188"/>
      <c r="B57" s="5"/>
      <c r="C57" s="5"/>
      <c r="D57" s="5"/>
      <c r="E57" s="5"/>
      <c r="F57" s="5"/>
      <c r="G57" s="5"/>
      <c r="H57" s="5"/>
      <c r="I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</row>
    <row r="61" ht="15.0" customHeight="1">
      <c r="A61" s="5"/>
      <c r="B61" s="5"/>
      <c r="C61" s="5"/>
      <c r="D61" s="5"/>
      <c r="E61" s="5"/>
      <c r="F61" s="5"/>
      <c r="G61" s="5"/>
      <c r="H61" s="5"/>
      <c r="I61" s="5"/>
    </row>
    <row r="62" ht="15.0" customHeight="1">
      <c r="A62" s="5"/>
      <c r="B62" s="5"/>
      <c r="C62" s="5"/>
      <c r="D62" s="5"/>
      <c r="E62" s="5"/>
      <c r="F62" s="5"/>
      <c r="G62" s="5"/>
      <c r="H62" s="5"/>
      <c r="I62" s="5"/>
    </row>
    <row r="63" ht="15.0" customHeight="1">
      <c r="A63" s="5"/>
      <c r="B63" s="5"/>
      <c r="C63" s="5"/>
      <c r="D63" s="5"/>
      <c r="E63" s="5"/>
      <c r="F63" s="5"/>
      <c r="G63" s="5"/>
      <c r="H63" s="5"/>
      <c r="I63" s="5"/>
    </row>
    <row r="64" ht="15.0" customHeight="1">
      <c r="A64" s="5"/>
      <c r="B64" s="5"/>
      <c r="C64" s="5"/>
      <c r="D64" s="5"/>
      <c r="E64" s="5"/>
      <c r="F64" s="5"/>
      <c r="G64" s="5"/>
      <c r="H64" s="5"/>
      <c r="I64" s="5"/>
    </row>
    <row r="65" ht="15.0" customHeight="1">
      <c r="A65" s="5"/>
      <c r="B65" s="5"/>
      <c r="C65" s="5"/>
      <c r="D65" s="5"/>
      <c r="E65" s="5"/>
      <c r="F65" s="5"/>
      <c r="G65" s="5"/>
      <c r="H65" s="5"/>
      <c r="I65" s="5"/>
    </row>
    <row r="66" ht="15.0" customHeight="1">
      <c r="A66" s="5"/>
      <c r="B66" s="5"/>
      <c r="C66" s="5"/>
      <c r="D66" s="5"/>
      <c r="E66" s="5"/>
      <c r="F66" s="5"/>
      <c r="G66" s="5"/>
      <c r="H66" s="5"/>
      <c r="I66" s="5"/>
    </row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8:E8"/>
    <mergeCell ref="A18:E18"/>
    <mergeCell ref="A28:E28"/>
    <mergeCell ref="A42:E4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9966"/>
    <pageSetUpPr/>
  </sheetPr>
  <sheetViews>
    <sheetView workbookViewId="0"/>
  </sheetViews>
  <sheetFormatPr customHeight="1" defaultColWidth="12.63" defaultRowHeight="15.0"/>
  <cols>
    <col customWidth="1" min="1" max="1" width="45.75"/>
    <col customWidth="1" min="2" max="2" width="8.75"/>
    <col customWidth="1" min="3" max="3" width="9.63"/>
    <col customWidth="1" min="4" max="4" width="11.63"/>
    <col customWidth="1" min="5" max="5" width="12.38"/>
    <col customWidth="1" min="6" max="17" width="9.88"/>
    <col customWidth="1" min="18" max="18" width="32.5"/>
    <col customWidth="1" min="19" max="19" width="35.13"/>
    <col customWidth="1" min="20" max="26" width="8.0"/>
  </cols>
  <sheetData>
    <row r="1" ht="18.0" customHeight="1">
      <c r="A1" s="2" t="s">
        <v>66</v>
      </c>
    </row>
    <row r="2" ht="12.75" customHeight="1"/>
    <row r="3" ht="18.0" customHeight="1">
      <c r="A3" s="2" t="s">
        <v>119</v>
      </c>
    </row>
    <row r="4" ht="12.75" customHeight="1"/>
    <row r="5" ht="15.75" customHeight="1">
      <c r="A5" s="6" t="s">
        <v>14</v>
      </c>
      <c r="B5" s="7"/>
    </row>
    <row r="6" ht="15.75" customHeight="1">
      <c r="A6" s="6" t="s">
        <v>15</v>
      </c>
      <c r="B6" s="7"/>
    </row>
    <row r="7" ht="15.75" customHeight="1">
      <c r="A7" s="6" t="s">
        <v>16</v>
      </c>
      <c r="B7" s="7"/>
    </row>
    <row r="8" ht="15.75" customHeight="1">
      <c r="A8" s="189" t="s">
        <v>120</v>
      </c>
      <c r="B8" s="85"/>
      <c r="C8" s="85"/>
      <c r="D8" s="85"/>
      <c r="E8" s="16"/>
      <c r="F8" s="146" t="s">
        <v>121</v>
      </c>
      <c r="G8" s="85"/>
      <c r="H8" s="85"/>
      <c r="I8" s="85"/>
      <c r="J8" s="85"/>
      <c r="K8" s="85"/>
      <c r="L8" s="85"/>
      <c r="M8" s="85"/>
      <c r="N8" s="85"/>
      <c r="O8" s="85"/>
      <c r="P8" s="85"/>
      <c r="Q8" s="16"/>
    </row>
    <row r="9" ht="15.75" customHeight="1">
      <c r="A9" s="70"/>
      <c r="B9" s="32" t="s">
        <v>24</v>
      </c>
      <c r="C9" s="67" t="s">
        <v>112</v>
      </c>
      <c r="D9" s="27" t="s">
        <v>113</v>
      </c>
      <c r="E9" s="27" t="s">
        <v>26</v>
      </c>
      <c r="F9" s="190">
        <v>1.0</v>
      </c>
      <c r="G9" s="190">
        <v>2.0</v>
      </c>
      <c r="H9" s="190">
        <v>3.0</v>
      </c>
      <c r="I9" s="190">
        <v>4.0</v>
      </c>
      <c r="J9" s="191">
        <v>5.0</v>
      </c>
      <c r="K9" s="191">
        <v>6.0</v>
      </c>
      <c r="L9" s="191">
        <v>7.0</v>
      </c>
      <c r="M9" s="191">
        <v>8.0</v>
      </c>
      <c r="N9" s="191">
        <v>9.0</v>
      </c>
      <c r="O9" s="191">
        <v>10.0</v>
      </c>
      <c r="P9" s="191">
        <v>11.0</v>
      </c>
      <c r="Q9" s="191">
        <v>12.0</v>
      </c>
      <c r="R9" s="192" t="s">
        <v>122</v>
      </c>
      <c r="S9" s="192" t="s">
        <v>123</v>
      </c>
    </row>
    <row r="10" ht="15.0" customHeight="1">
      <c r="A10" s="172" t="s">
        <v>124</v>
      </c>
      <c r="B10" s="24" t="s">
        <v>121</v>
      </c>
      <c r="C10" s="173">
        <v>1.0</v>
      </c>
      <c r="D10" s="38">
        <v>2000.0</v>
      </c>
      <c r="E10" s="27">
        <f>C10*D10</f>
        <v>2000</v>
      </c>
      <c r="F10" s="193">
        <v>2000.0</v>
      </c>
      <c r="G10" s="193">
        <v>2000.0</v>
      </c>
      <c r="H10" s="193">
        <v>2000.0</v>
      </c>
      <c r="I10" s="193">
        <v>2000.0</v>
      </c>
      <c r="J10" s="193">
        <v>2000.0</v>
      </c>
      <c r="K10" s="193">
        <v>2000.0</v>
      </c>
      <c r="L10" s="193">
        <v>2000.0</v>
      </c>
      <c r="M10" s="193">
        <v>2000.0</v>
      </c>
      <c r="N10" s="193">
        <v>2000.0</v>
      </c>
      <c r="O10" s="193">
        <v>2000.0</v>
      </c>
      <c r="P10" s="193">
        <v>2000.0</v>
      </c>
      <c r="Q10" s="193">
        <v>2000.0</v>
      </c>
      <c r="R10" s="194">
        <f>SUM(F10:Q10)</f>
        <v>24000</v>
      </c>
      <c r="S10" s="194">
        <f>R10*9</f>
        <v>216000</v>
      </c>
    </row>
    <row r="11" ht="15.0" customHeight="1">
      <c r="A11" s="31"/>
      <c r="B11" s="32"/>
      <c r="C11" s="67"/>
      <c r="D11" s="27"/>
      <c r="E11" s="27"/>
      <c r="F11" s="33"/>
      <c r="G11" s="33"/>
      <c r="H11" s="33"/>
      <c r="I11" s="33"/>
      <c r="J11" s="195"/>
      <c r="K11" s="195"/>
      <c r="L11" s="195"/>
      <c r="M11" s="195"/>
      <c r="N11" s="195"/>
      <c r="O11" s="195"/>
      <c r="P11" s="195"/>
      <c r="Q11" s="195"/>
    </row>
    <row r="12" ht="15.0" customHeight="1">
      <c r="A12" s="71"/>
      <c r="B12" s="32"/>
      <c r="C12" s="67"/>
      <c r="D12" s="27"/>
      <c r="E12" s="27"/>
      <c r="F12" s="33"/>
      <c r="G12" s="33"/>
      <c r="H12" s="33"/>
      <c r="I12" s="33"/>
      <c r="J12" s="195"/>
      <c r="K12" s="195"/>
      <c r="L12" s="195"/>
      <c r="M12" s="195"/>
      <c r="N12" s="195"/>
      <c r="O12" s="195"/>
      <c r="P12" s="195"/>
      <c r="Q12" s="195"/>
    </row>
    <row r="13" ht="15.0" customHeight="1">
      <c r="A13" s="71"/>
      <c r="B13" s="32"/>
      <c r="C13" s="67"/>
      <c r="D13" s="27"/>
      <c r="E13" s="27"/>
      <c r="F13" s="33"/>
      <c r="G13" s="33"/>
      <c r="H13" s="33"/>
      <c r="I13" s="33"/>
      <c r="J13" s="195"/>
      <c r="K13" s="195"/>
      <c r="L13" s="195"/>
      <c r="M13" s="195"/>
      <c r="N13" s="195"/>
      <c r="O13" s="195"/>
      <c r="P13" s="195"/>
      <c r="Q13" s="195"/>
    </row>
    <row r="14" ht="15.0" customHeight="1">
      <c r="A14" s="71"/>
      <c r="B14" s="32"/>
      <c r="C14" s="67"/>
      <c r="D14" s="27"/>
      <c r="E14" s="27"/>
      <c r="F14" s="33"/>
      <c r="G14" s="33"/>
      <c r="H14" s="33"/>
      <c r="I14" s="33"/>
      <c r="J14" s="195"/>
      <c r="K14" s="195"/>
      <c r="L14" s="195"/>
      <c r="M14" s="195"/>
      <c r="N14" s="195"/>
      <c r="O14" s="195"/>
      <c r="P14" s="195"/>
      <c r="Q14" s="195"/>
    </row>
    <row r="15" ht="15.75" customHeight="1">
      <c r="A15" s="69" t="s">
        <v>52</v>
      </c>
      <c r="B15" s="32"/>
      <c r="C15" s="67"/>
      <c r="D15" s="27"/>
      <c r="E15" s="42"/>
      <c r="F15" s="33"/>
      <c r="G15" s="33"/>
      <c r="H15" s="33"/>
      <c r="I15" s="33"/>
      <c r="J15" s="195"/>
      <c r="K15" s="195"/>
      <c r="L15" s="195"/>
      <c r="M15" s="195"/>
      <c r="N15" s="195"/>
      <c r="O15" s="195"/>
      <c r="P15" s="195"/>
      <c r="Q15" s="195"/>
    </row>
    <row r="16" ht="15.75" customHeight="1">
      <c r="A16" s="7"/>
      <c r="B16" s="176"/>
      <c r="C16" s="177"/>
      <c r="D16" s="178"/>
      <c r="E16" s="179"/>
      <c r="F16" s="5"/>
      <c r="G16" s="5"/>
      <c r="H16" s="5"/>
      <c r="I16" s="5"/>
    </row>
    <row r="17" ht="15.75" customHeight="1">
      <c r="A17" s="7"/>
      <c r="B17" s="176"/>
      <c r="C17" s="177"/>
      <c r="D17" s="178"/>
      <c r="E17" s="179"/>
      <c r="F17" s="5"/>
      <c r="G17" s="5"/>
      <c r="H17" s="5"/>
      <c r="I17" s="5"/>
    </row>
    <row r="18" ht="15.75" customHeight="1">
      <c r="A18" s="189" t="s">
        <v>125</v>
      </c>
      <c r="B18" s="85"/>
      <c r="C18" s="85"/>
      <c r="D18" s="85"/>
      <c r="E18" s="16"/>
      <c r="F18" s="146" t="s">
        <v>121</v>
      </c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16"/>
    </row>
    <row r="19" ht="15.75" customHeight="1">
      <c r="A19" s="196"/>
      <c r="B19" s="197" t="s">
        <v>24</v>
      </c>
      <c r="C19" s="198" t="s">
        <v>112</v>
      </c>
      <c r="D19" s="199" t="s">
        <v>113</v>
      </c>
      <c r="E19" s="199" t="s">
        <v>26</v>
      </c>
      <c r="F19" s="200">
        <v>1.0</v>
      </c>
      <c r="G19" s="200">
        <v>2.0</v>
      </c>
      <c r="H19" s="200">
        <v>3.0</v>
      </c>
      <c r="I19" s="200">
        <v>4.0</v>
      </c>
      <c r="J19" s="200">
        <v>5.0</v>
      </c>
      <c r="K19" s="200">
        <v>6.0</v>
      </c>
      <c r="L19" s="200">
        <v>7.0</v>
      </c>
      <c r="M19" s="200">
        <v>8.0</v>
      </c>
      <c r="N19" s="200">
        <v>9.0</v>
      </c>
      <c r="O19" s="200">
        <v>10.0</v>
      </c>
      <c r="P19" s="200">
        <v>11.0</v>
      </c>
      <c r="Q19" s="200">
        <v>12.0</v>
      </c>
      <c r="R19" s="201" t="s">
        <v>122</v>
      </c>
      <c r="S19" s="201" t="s">
        <v>123</v>
      </c>
      <c r="T19" s="202"/>
      <c r="U19" s="202"/>
      <c r="V19" s="202"/>
      <c r="W19" s="202"/>
      <c r="X19" s="202"/>
      <c r="Y19" s="202"/>
      <c r="Z19" s="202"/>
    </row>
    <row r="20" ht="15.0" customHeight="1">
      <c r="A20" s="203" t="s">
        <v>126</v>
      </c>
      <c r="B20" s="203" t="s">
        <v>127</v>
      </c>
      <c r="C20" s="204">
        <v>2.0</v>
      </c>
      <c r="D20" s="205">
        <v>9054.0</v>
      </c>
      <c r="E20" s="206">
        <f>C20*D20</f>
        <v>18108</v>
      </c>
      <c r="F20" s="207">
        <f>E20</f>
        <v>18108</v>
      </c>
      <c r="G20" s="207">
        <f>E20</f>
        <v>18108</v>
      </c>
      <c r="H20" s="207">
        <f t="shared" ref="H20:I20" si="1">G20</f>
        <v>18108</v>
      </c>
      <c r="I20" s="207">
        <f t="shared" si="1"/>
        <v>18108</v>
      </c>
      <c r="J20" s="207">
        <f>H20</f>
        <v>18108</v>
      </c>
      <c r="K20" s="207">
        <f t="shared" ref="K20:L20" si="2">J20</f>
        <v>18108</v>
      </c>
      <c r="L20" s="207">
        <f t="shared" si="2"/>
        <v>18108</v>
      </c>
      <c r="M20" s="207">
        <f>K20</f>
        <v>18108</v>
      </c>
      <c r="N20" s="207">
        <f t="shared" ref="N20:O20" si="3">M20</f>
        <v>18108</v>
      </c>
      <c r="O20" s="207">
        <f t="shared" si="3"/>
        <v>18108</v>
      </c>
      <c r="P20" s="207">
        <f>N20</f>
        <v>18108</v>
      </c>
      <c r="Q20" s="207">
        <f>P20</f>
        <v>18108</v>
      </c>
      <c r="R20" s="208">
        <f>SUM(F20:Q20)</f>
        <v>217296</v>
      </c>
      <c r="S20" s="208">
        <f>R20*9</f>
        <v>1955664</v>
      </c>
      <c r="T20" s="202"/>
      <c r="U20" s="202"/>
      <c r="V20" s="202"/>
      <c r="W20" s="202"/>
      <c r="X20" s="202"/>
      <c r="Y20" s="202"/>
      <c r="Z20" s="203"/>
    </row>
    <row r="21" ht="15.0" customHeight="1">
      <c r="A21" s="209" t="s">
        <v>128</v>
      </c>
      <c r="B21" s="209" t="s">
        <v>127</v>
      </c>
      <c r="C21" s="209">
        <v>1.0</v>
      </c>
      <c r="D21" s="210">
        <v>6000.0</v>
      </c>
      <c r="E21" s="206"/>
      <c r="F21" s="207">
        <v>6000.0</v>
      </c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2">
        <v>6000.0</v>
      </c>
      <c r="S21" s="208"/>
      <c r="T21" s="202"/>
      <c r="U21" s="202"/>
      <c r="V21" s="202"/>
      <c r="W21" s="202"/>
      <c r="X21" s="202"/>
      <c r="Y21" s="202"/>
      <c r="Z21" s="202"/>
    </row>
    <row r="22" ht="15.75" customHeight="1">
      <c r="A22" s="203" t="s">
        <v>129</v>
      </c>
      <c r="B22" s="203" t="s">
        <v>127</v>
      </c>
      <c r="C22" s="204">
        <v>1.0</v>
      </c>
      <c r="D22" s="205">
        <v>6000.0</v>
      </c>
      <c r="E22" s="206"/>
      <c r="F22" s="207">
        <v>6000.0</v>
      </c>
      <c r="G22" s="207">
        <v>6000.0</v>
      </c>
      <c r="H22" s="207">
        <v>6000.0</v>
      </c>
      <c r="I22" s="207">
        <v>6000.0</v>
      </c>
      <c r="J22" s="207">
        <v>6000.0</v>
      </c>
      <c r="K22" s="207">
        <v>6000.0</v>
      </c>
      <c r="L22" s="207">
        <v>6000.0</v>
      </c>
      <c r="M22" s="207">
        <v>6000.0</v>
      </c>
      <c r="N22" s="207">
        <v>6000.0</v>
      </c>
      <c r="O22" s="207">
        <v>6000.0</v>
      </c>
      <c r="P22" s="207">
        <v>6000.0</v>
      </c>
      <c r="Q22" s="207">
        <v>6000.0</v>
      </c>
      <c r="R22" s="208">
        <f t="shared" ref="R22:R23" si="4">SUM(F22:Q22)</f>
        <v>72000</v>
      </c>
      <c r="S22" s="208">
        <f t="shared" ref="S22:S24" si="5">R22*9</f>
        <v>648000</v>
      </c>
      <c r="T22" s="202"/>
      <c r="U22" s="202"/>
      <c r="V22" s="202"/>
      <c r="W22" s="202"/>
      <c r="X22" s="202"/>
      <c r="Y22" s="202"/>
      <c r="Z22" s="202"/>
    </row>
    <row r="23" ht="15.75" customHeight="1">
      <c r="A23" s="203" t="s">
        <v>130</v>
      </c>
      <c r="B23" s="203" t="s">
        <v>127</v>
      </c>
      <c r="C23" s="203">
        <v>1.0</v>
      </c>
      <c r="D23" s="205">
        <v>1000.0</v>
      </c>
      <c r="E23" s="213"/>
      <c r="F23" s="207">
        <v>1000.0</v>
      </c>
      <c r="G23" s="207">
        <v>1000.0</v>
      </c>
      <c r="H23" s="207">
        <v>1000.0</v>
      </c>
      <c r="I23" s="207">
        <v>1000.0</v>
      </c>
      <c r="J23" s="207">
        <v>1000.0</v>
      </c>
      <c r="K23" s="207">
        <v>1000.0</v>
      </c>
      <c r="L23" s="207">
        <v>1000.0</v>
      </c>
      <c r="M23" s="207">
        <v>1000.0</v>
      </c>
      <c r="N23" s="207">
        <v>1000.0</v>
      </c>
      <c r="O23" s="207">
        <v>1000.0</v>
      </c>
      <c r="P23" s="207">
        <v>1000.0</v>
      </c>
      <c r="Q23" s="207">
        <v>1000.0</v>
      </c>
      <c r="R23" s="208">
        <f t="shared" si="4"/>
        <v>12000</v>
      </c>
      <c r="S23" s="208">
        <f t="shared" si="5"/>
        <v>108000</v>
      </c>
      <c r="T23" s="202"/>
      <c r="U23" s="202"/>
      <c r="V23" s="202"/>
      <c r="W23" s="202"/>
      <c r="X23" s="202"/>
      <c r="Y23" s="202"/>
      <c r="Z23" s="202"/>
    </row>
    <row r="24" ht="15.75" customHeight="1">
      <c r="A24" s="203" t="s">
        <v>131</v>
      </c>
      <c r="B24" s="203" t="s">
        <v>40</v>
      </c>
      <c r="C24" s="204">
        <v>1.0</v>
      </c>
      <c r="D24" s="205">
        <v>1000.0</v>
      </c>
      <c r="E24" s="213"/>
      <c r="F24" s="207">
        <v>1000.0</v>
      </c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2">
        <v>1000.0</v>
      </c>
      <c r="S24" s="208">
        <f t="shared" si="5"/>
        <v>9000</v>
      </c>
      <c r="T24" s="202"/>
      <c r="U24" s="202"/>
      <c r="V24" s="202"/>
      <c r="W24" s="202"/>
      <c r="X24" s="202"/>
      <c r="Y24" s="202"/>
      <c r="Z24" s="202"/>
    </row>
    <row r="25" ht="15.75" customHeight="1">
      <c r="A25" s="214" t="s">
        <v>52</v>
      </c>
      <c r="B25" s="197"/>
      <c r="C25" s="198"/>
      <c r="D25" s="206">
        <f t="shared" ref="D25:Q25" si="6">SUM(D20:D24)</f>
        <v>23054</v>
      </c>
      <c r="E25" s="206">
        <f t="shared" si="6"/>
        <v>18108</v>
      </c>
      <c r="F25" s="206">
        <f t="shared" si="6"/>
        <v>32108</v>
      </c>
      <c r="G25" s="206">
        <f t="shared" si="6"/>
        <v>25108</v>
      </c>
      <c r="H25" s="206">
        <f t="shared" si="6"/>
        <v>25108</v>
      </c>
      <c r="I25" s="206">
        <f t="shared" si="6"/>
        <v>25108</v>
      </c>
      <c r="J25" s="206">
        <f t="shared" si="6"/>
        <v>25108</v>
      </c>
      <c r="K25" s="206">
        <f t="shared" si="6"/>
        <v>25108</v>
      </c>
      <c r="L25" s="206">
        <f t="shared" si="6"/>
        <v>25108</v>
      </c>
      <c r="M25" s="206">
        <f t="shared" si="6"/>
        <v>25108</v>
      </c>
      <c r="N25" s="206">
        <f t="shared" si="6"/>
        <v>25108</v>
      </c>
      <c r="O25" s="206">
        <f t="shared" si="6"/>
        <v>25108</v>
      </c>
      <c r="P25" s="206">
        <f t="shared" si="6"/>
        <v>25108</v>
      </c>
      <c r="Q25" s="206">
        <f t="shared" si="6"/>
        <v>25108</v>
      </c>
      <c r="R25" s="202"/>
      <c r="S25" s="202"/>
      <c r="T25" s="202"/>
      <c r="U25" s="202"/>
      <c r="V25" s="202"/>
      <c r="W25" s="202"/>
      <c r="X25" s="202"/>
      <c r="Y25" s="202"/>
      <c r="Z25" s="202"/>
    </row>
    <row r="26" ht="15.0" customHeight="1">
      <c r="A26" s="215"/>
      <c r="B26" s="215"/>
      <c r="C26" s="215"/>
      <c r="D26" s="215"/>
      <c r="E26" s="215"/>
      <c r="F26" s="215"/>
      <c r="G26" s="215"/>
      <c r="H26" s="215"/>
      <c r="I26" s="215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</row>
    <row r="27" ht="15.0" customHeight="1">
      <c r="A27" s="215"/>
      <c r="B27" s="215"/>
      <c r="C27" s="215"/>
      <c r="D27" s="215"/>
      <c r="E27" s="215"/>
      <c r="F27" s="215"/>
      <c r="G27" s="215"/>
      <c r="H27" s="215"/>
      <c r="I27" s="215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</row>
    <row r="28" ht="15.75" customHeight="1">
      <c r="A28" s="216" t="s">
        <v>132</v>
      </c>
      <c r="B28" s="85"/>
      <c r="C28" s="85"/>
      <c r="D28" s="85"/>
      <c r="E28" s="16"/>
      <c r="F28" s="217" t="s">
        <v>121</v>
      </c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16"/>
      <c r="R28" s="202"/>
      <c r="S28" s="202"/>
      <c r="T28" s="202"/>
      <c r="U28" s="202"/>
      <c r="V28" s="202"/>
      <c r="W28" s="202"/>
      <c r="X28" s="202"/>
      <c r="Y28" s="202"/>
      <c r="Z28" s="202"/>
    </row>
    <row r="29" ht="15.75" customHeight="1">
      <c r="A29" s="202"/>
      <c r="B29" s="202"/>
      <c r="C29" s="202"/>
      <c r="D29" s="202"/>
      <c r="E29" s="199"/>
      <c r="F29" s="200">
        <v>1.0</v>
      </c>
      <c r="G29" s="200">
        <v>2.0</v>
      </c>
      <c r="H29" s="200">
        <v>3.0</v>
      </c>
      <c r="I29" s="200">
        <v>4.0</v>
      </c>
      <c r="J29" s="200">
        <v>5.0</v>
      </c>
      <c r="K29" s="200">
        <v>6.0</v>
      </c>
      <c r="L29" s="200">
        <v>7.0</v>
      </c>
      <c r="M29" s="200">
        <v>8.0</v>
      </c>
      <c r="N29" s="200">
        <v>9.0</v>
      </c>
      <c r="O29" s="200">
        <v>10.0</v>
      </c>
      <c r="P29" s="200">
        <v>11.0</v>
      </c>
      <c r="Q29" s="200">
        <v>12.0</v>
      </c>
      <c r="R29" s="202"/>
      <c r="S29" s="202"/>
      <c r="T29" s="202"/>
      <c r="U29" s="202"/>
      <c r="V29" s="202"/>
      <c r="W29" s="202"/>
      <c r="X29" s="202"/>
      <c r="Y29" s="202"/>
      <c r="Z29" s="202"/>
    </row>
    <row r="30" ht="15.0" customHeight="1">
      <c r="A30" s="218" t="s">
        <v>133</v>
      </c>
      <c r="B30" s="203" t="s">
        <v>127</v>
      </c>
      <c r="C30" s="203">
        <v>2.0</v>
      </c>
      <c r="D30" s="219">
        <v>1110.87</v>
      </c>
      <c r="E30" s="199">
        <f>C30*D30</f>
        <v>2221.74</v>
      </c>
      <c r="F30" s="205">
        <f t="shared" ref="F30:F34" si="10">E30</f>
        <v>2221.74</v>
      </c>
      <c r="G30" s="205">
        <f t="shared" ref="G30:G31" si="11">E30</f>
        <v>2221.74</v>
      </c>
      <c r="H30" s="205">
        <f t="shared" ref="H30:I30" si="7">G30</f>
        <v>2221.74</v>
      </c>
      <c r="I30" s="205">
        <f t="shared" si="7"/>
        <v>2221.74</v>
      </c>
      <c r="J30" s="205">
        <f t="shared" ref="J30:J31" si="13">H30</f>
        <v>2221.74</v>
      </c>
      <c r="K30" s="205">
        <f t="shared" ref="K30:L30" si="8">J30</f>
        <v>2221.74</v>
      </c>
      <c r="L30" s="205">
        <f t="shared" si="8"/>
        <v>2221.74</v>
      </c>
      <c r="M30" s="205">
        <f t="shared" ref="M30:M31" si="15">K30</f>
        <v>2221.74</v>
      </c>
      <c r="N30" s="205">
        <f t="shared" ref="N30:O30" si="9">M30</f>
        <v>2221.74</v>
      </c>
      <c r="O30" s="205">
        <f t="shared" si="9"/>
        <v>2221.74</v>
      </c>
      <c r="P30" s="205">
        <f t="shared" ref="P30:P31" si="17">N30</f>
        <v>2221.74</v>
      </c>
      <c r="Q30" s="205">
        <f t="shared" ref="Q30:Q31" si="18">P30</f>
        <v>2221.74</v>
      </c>
      <c r="R30" s="208">
        <f t="shared" ref="R30:R34" si="19">SUM(F30:Q30)</f>
        <v>26660.88</v>
      </c>
      <c r="S30" s="208">
        <f t="shared" ref="S30:S34" si="20">R30*9</f>
        <v>239947.92</v>
      </c>
      <c r="T30" s="202"/>
      <c r="U30" s="202"/>
      <c r="V30" s="202"/>
      <c r="W30" s="202"/>
      <c r="X30" s="202"/>
      <c r="Y30" s="202"/>
      <c r="Z30" s="202"/>
    </row>
    <row r="31" ht="15.75" customHeight="1">
      <c r="A31" s="218" t="s">
        <v>134</v>
      </c>
      <c r="B31" s="203" t="s">
        <v>127</v>
      </c>
      <c r="C31" s="203">
        <v>2.0</v>
      </c>
      <c r="D31" s="220">
        <v>1107.74</v>
      </c>
      <c r="E31" s="199">
        <f>D31*C31</f>
        <v>2215.48</v>
      </c>
      <c r="F31" s="199">
        <f t="shared" si="10"/>
        <v>2215.48</v>
      </c>
      <c r="G31" s="199">
        <f t="shared" si="11"/>
        <v>2215.48</v>
      </c>
      <c r="H31" s="199">
        <f t="shared" ref="H31:I31" si="12">G31</f>
        <v>2215.48</v>
      </c>
      <c r="I31" s="199">
        <f t="shared" si="12"/>
        <v>2215.48</v>
      </c>
      <c r="J31" s="199">
        <f t="shared" si="13"/>
        <v>2215.48</v>
      </c>
      <c r="K31" s="199">
        <f t="shared" ref="K31:L31" si="14">J31</f>
        <v>2215.48</v>
      </c>
      <c r="L31" s="199">
        <f t="shared" si="14"/>
        <v>2215.48</v>
      </c>
      <c r="M31" s="199">
        <f t="shared" si="15"/>
        <v>2215.48</v>
      </c>
      <c r="N31" s="199">
        <f t="shared" ref="N31:O31" si="16">M31</f>
        <v>2215.48</v>
      </c>
      <c r="O31" s="199">
        <f t="shared" si="16"/>
        <v>2215.48</v>
      </c>
      <c r="P31" s="199">
        <f t="shared" si="17"/>
        <v>2215.48</v>
      </c>
      <c r="Q31" s="199">
        <f t="shared" si="18"/>
        <v>2215.48</v>
      </c>
      <c r="R31" s="208">
        <f t="shared" si="19"/>
        <v>26585.76</v>
      </c>
      <c r="S31" s="208">
        <f t="shared" si="20"/>
        <v>239271.84</v>
      </c>
      <c r="T31" s="202"/>
      <c r="U31" s="202"/>
      <c r="V31" s="202"/>
      <c r="W31" s="202"/>
      <c r="X31" s="202"/>
      <c r="Y31" s="202"/>
      <c r="Z31" s="202"/>
    </row>
    <row r="32" ht="15.75" customHeight="1">
      <c r="A32" s="218" t="s">
        <v>135</v>
      </c>
      <c r="B32" s="203" t="s">
        <v>127</v>
      </c>
      <c r="C32" s="203">
        <v>2.0</v>
      </c>
      <c r="D32" s="220">
        <v>500.0</v>
      </c>
      <c r="E32" s="199">
        <f>C32*D32</f>
        <v>1000</v>
      </c>
      <c r="F32" s="199">
        <f t="shared" si="10"/>
        <v>1000</v>
      </c>
      <c r="G32" s="199">
        <f t="shared" ref="G32:Q32" si="21">F32</f>
        <v>1000</v>
      </c>
      <c r="H32" s="199">
        <f t="shared" si="21"/>
        <v>1000</v>
      </c>
      <c r="I32" s="199">
        <f t="shared" si="21"/>
        <v>1000</v>
      </c>
      <c r="J32" s="199">
        <f t="shared" si="21"/>
        <v>1000</v>
      </c>
      <c r="K32" s="199">
        <f t="shared" si="21"/>
        <v>1000</v>
      </c>
      <c r="L32" s="199">
        <f t="shared" si="21"/>
        <v>1000</v>
      </c>
      <c r="M32" s="199">
        <f t="shared" si="21"/>
        <v>1000</v>
      </c>
      <c r="N32" s="199">
        <f t="shared" si="21"/>
        <v>1000</v>
      </c>
      <c r="O32" s="199">
        <f t="shared" si="21"/>
        <v>1000</v>
      </c>
      <c r="P32" s="199">
        <f t="shared" si="21"/>
        <v>1000</v>
      </c>
      <c r="Q32" s="199">
        <f t="shared" si="21"/>
        <v>1000</v>
      </c>
      <c r="R32" s="208">
        <f t="shared" si="19"/>
        <v>12000</v>
      </c>
      <c r="S32" s="208">
        <f t="shared" si="20"/>
        <v>108000</v>
      </c>
      <c r="T32" s="202"/>
      <c r="U32" s="202"/>
      <c r="V32" s="202"/>
      <c r="W32" s="202"/>
      <c r="X32" s="202"/>
      <c r="Y32" s="202"/>
      <c r="Z32" s="202"/>
    </row>
    <row r="33" ht="15.75" customHeight="1">
      <c r="A33" s="218" t="s">
        <v>136</v>
      </c>
      <c r="B33" s="203" t="s">
        <v>127</v>
      </c>
      <c r="C33" s="203">
        <v>2.0</v>
      </c>
      <c r="D33" s="220">
        <v>75.45</v>
      </c>
      <c r="E33" s="199">
        <f>D33*C33</f>
        <v>150.9</v>
      </c>
      <c r="F33" s="205">
        <f t="shared" si="10"/>
        <v>150.9</v>
      </c>
      <c r="G33" s="205">
        <f t="shared" ref="G33:Q33" si="22">F33</f>
        <v>150.9</v>
      </c>
      <c r="H33" s="205">
        <f t="shared" si="22"/>
        <v>150.9</v>
      </c>
      <c r="I33" s="205">
        <f t="shared" si="22"/>
        <v>150.9</v>
      </c>
      <c r="J33" s="205">
        <f t="shared" si="22"/>
        <v>150.9</v>
      </c>
      <c r="K33" s="205">
        <f t="shared" si="22"/>
        <v>150.9</v>
      </c>
      <c r="L33" s="205">
        <f t="shared" si="22"/>
        <v>150.9</v>
      </c>
      <c r="M33" s="205">
        <f t="shared" si="22"/>
        <v>150.9</v>
      </c>
      <c r="N33" s="205">
        <f t="shared" si="22"/>
        <v>150.9</v>
      </c>
      <c r="O33" s="205">
        <f t="shared" si="22"/>
        <v>150.9</v>
      </c>
      <c r="P33" s="205">
        <f t="shared" si="22"/>
        <v>150.9</v>
      </c>
      <c r="Q33" s="205">
        <f t="shared" si="22"/>
        <v>150.9</v>
      </c>
      <c r="R33" s="208">
        <f t="shared" si="19"/>
        <v>1810.8</v>
      </c>
      <c r="S33" s="208">
        <f t="shared" si="20"/>
        <v>16297.2</v>
      </c>
      <c r="T33" s="202"/>
      <c r="U33" s="202"/>
      <c r="V33" s="202"/>
      <c r="W33" s="202"/>
      <c r="X33" s="202"/>
      <c r="Y33" s="202"/>
      <c r="Z33" s="202"/>
    </row>
    <row r="34" ht="15.75" customHeight="1">
      <c r="A34" s="218" t="s">
        <v>137</v>
      </c>
      <c r="B34" s="203" t="s">
        <v>127</v>
      </c>
      <c r="C34" s="203">
        <v>2.0</v>
      </c>
      <c r="D34" s="220">
        <v>412.91</v>
      </c>
      <c r="E34" s="199">
        <f>C34*D34</f>
        <v>825.82</v>
      </c>
      <c r="F34" s="199">
        <f t="shared" si="10"/>
        <v>825.82</v>
      </c>
      <c r="G34" s="199">
        <f t="shared" ref="G34:Q34" si="23">F34</f>
        <v>825.82</v>
      </c>
      <c r="H34" s="199">
        <f t="shared" si="23"/>
        <v>825.82</v>
      </c>
      <c r="I34" s="199">
        <f t="shared" si="23"/>
        <v>825.82</v>
      </c>
      <c r="J34" s="199">
        <f t="shared" si="23"/>
        <v>825.82</v>
      </c>
      <c r="K34" s="199">
        <f t="shared" si="23"/>
        <v>825.82</v>
      </c>
      <c r="L34" s="199">
        <f t="shared" si="23"/>
        <v>825.82</v>
      </c>
      <c r="M34" s="199">
        <f t="shared" si="23"/>
        <v>825.82</v>
      </c>
      <c r="N34" s="199">
        <f t="shared" si="23"/>
        <v>825.82</v>
      </c>
      <c r="O34" s="199">
        <f t="shared" si="23"/>
        <v>825.82</v>
      </c>
      <c r="P34" s="199">
        <f t="shared" si="23"/>
        <v>825.82</v>
      </c>
      <c r="Q34" s="199">
        <f t="shared" si="23"/>
        <v>825.82</v>
      </c>
      <c r="R34" s="208">
        <f t="shared" si="19"/>
        <v>9909.84</v>
      </c>
      <c r="S34" s="208">
        <f t="shared" si="20"/>
        <v>89188.56</v>
      </c>
      <c r="T34" s="202"/>
      <c r="U34" s="202"/>
      <c r="V34" s="202"/>
      <c r="W34" s="202"/>
      <c r="X34" s="202"/>
      <c r="Y34" s="202"/>
      <c r="Z34" s="202"/>
    </row>
    <row r="35" ht="15.75" customHeight="1">
      <c r="A35" s="217" t="s">
        <v>52</v>
      </c>
      <c r="B35" s="197"/>
      <c r="C35" s="197"/>
      <c r="D35" s="221">
        <f t="shared" ref="D35:Q35" si="24">SUM(D30:D34)</f>
        <v>3206.97</v>
      </c>
      <c r="E35" s="221">
        <f t="shared" si="24"/>
        <v>6413.94</v>
      </c>
      <c r="F35" s="221">
        <f t="shared" si="24"/>
        <v>6413.94</v>
      </c>
      <c r="G35" s="221">
        <f t="shared" si="24"/>
        <v>6413.94</v>
      </c>
      <c r="H35" s="221">
        <f t="shared" si="24"/>
        <v>6413.94</v>
      </c>
      <c r="I35" s="221">
        <f t="shared" si="24"/>
        <v>6413.94</v>
      </c>
      <c r="J35" s="221">
        <f t="shared" si="24"/>
        <v>6413.94</v>
      </c>
      <c r="K35" s="221">
        <f t="shared" si="24"/>
        <v>6413.94</v>
      </c>
      <c r="L35" s="221">
        <f t="shared" si="24"/>
        <v>6413.94</v>
      </c>
      <c r="M35" s="221">
        <f t="shared" si="24"/>
        <v>6413.94</v>
      </c>
      <c r="N35" s="221">
        <f t="shared" si="24"/>
        <v>6413.94</v>
      </c>
      <c r="O35" s="221">
        <f t="shared" si="24"/>
        <v>6413.94</v>
      </c>
      <c r="P35" s="221">
        <f t="shared" si="24"/>
        <v>6413.94</v>
      </c>
      <c r="Q35" s="221">
        <f t="shared" si="24"/>
        <v>6413.94</v>
      </c>
      <c r="R35" s="202"/>
      <c r="S35" s="202"/>
      <c r="T35" s="202"/>
      <c r="U35" s="202"/>
      <c r="V35" s="202"/>
      <c r="W35" s="202"/>
      <c r="X35" s="202"/>
      <c r="Y35" s="202"/>
      <c r="Z35" s="202"/>
    </row>
    <row r="36">
      <c r="A36" s="5"/>
      <c r="B36" s="5"/>
      <c r="C36" s="5"/>
      <c r="D36" s="5"/>
      <c r="E36" s="222" t="s">
        <v>138</v>
      </c>
      <c r="F36" s="180">
        <f t="shared" ref="F36:Q36" si="25">F25+F35+F10</f>
        <v>40521.94</v>
      </c>
      <c r="G36" s="180">
        <f t="shared" si="25"/>
        <v>33521.94</v>
      </c>
      <c r="H36" s="180">
        <f t="shared" si="25"/>
        <v>33521.94</v>
      </c>
      <c r="I36" s="180">
        <f t="shared" si="25"/>
        <v>33521.94</v>
      </c>
      <c r="J36" s="180">
        <f t="shared" si="25"/>
        <v>33521.94</v>
      </c>
      <c r="K36" s="180">
        <f t="shared" si="25"/>
        <v>33521.94</v>
      </c>
      <c r="L36" s="180">
        <f t="shared" si="25"/>
        <v>33521.94</v>
      </c>
      <c r="M36" s="180">
        <f t="shared" si="25"/>
        <v>33521.94</v>
      </c>
      <c r="N36" s="180">
        <f t="shared" si="25"/>
        <v>33521.94</v>
      </c>
      <c r="O36" s="180">
        <f t="shared" si="25"/>
        <v>33521.94</v>
      </c>
      <c r="P36" s="180">
        <f t="shared" si="25"/>
        <v>33521.94</v>
      </c>
      <c r="Q36" s="180">
        <f t="shared" si="25"/>
        <v>33521.94</v>
      </c>
    </row>
    <row r="37" ht="15.0" customHeight="1">
      <c r="A37" s="5"/>
      <c r="B37" s="5"/>
      <c r="C37" s="5"/>
      <c r="D37" s="5"/>
      <c r="E37" s="5"/>
      <c r="F37" s="5"/>
      <c r="G37" s="5"/>
      <c r="H37" s="5"/>
      <c r="I37" s="5"/>
    </row>
    <row r="38" ht="15.0" customHeight="1">
      <c r="A38" s="5"/>
      <c r="B38" s="5"/>
      <c r="C38" s="5"/>
      <c r="D38" s="5"/>
      <c r="E38" s="5"/>
      <c r="F38" s="5"/>
      <c r="G38" s="5"/>
      <c r="H38" s="5"/>
      <c r="I38" s="5"/>
    </row>
    <row r="39" ht="31.5" customHeight="1">
      <c r="A39" s="223" t="s">
        <v>139</v>
      </c>
      <c r="B39" s="33"/>
      <c r="C39" s="33"/>
      <c r="D39" s="33"/>
      <c r="E39" s="33"/>
      <c r="F39" s="146" t="s">
        <v>121</v>
      </c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16"/>
      <c r="R39" s="192" t="s">
        <v>140</v>
      </c>
      <c r="S39" s="192" t="s">
        <v>141</v>
      </c>
    </row>
    <row r="40" ht="15.75" customHeight="1">
      <c r="A40" s="224" t="s">
        <v>60</v>
      </c>
      <c r="B40" s="33" t="s">
        <v>24</v>
      </c>
      <c r="C40" s="225" t="s">
        <v>112</v>
      </c>
      <c r="D40" s="226" t="s">
        <v>113</v>
      </c>
      <c r="E40" s="226" t="s">
        <v>26</v>
      </c>
      <c r="F40" s="190">
        <v>1.0</v>
      </c>
      <c r="G40" s="190">
        <v>2.0</v>
      </c>
      <c r="H40" s="190">
        <v>3.0</v>
      </c>
      <c r="I40" s="190">
        <v>4.0</v>
      </c>
      <c r="J40" s="191">
        <v>5.0</v>
      </c>
      <c r="K40" s="191">
        <v>6.0</v>
      </c>
      <c r="L40" s="191">
        <v>7.0</v>
      </c>
      <c r="M40" s="191">
        <v>8.0</v>
      </c>
      <c r="N40" s="191">
        <v>9.0</v>
      </c>
      <c r="O40" s="191">
        <v>10.0</v>
      </c>
      <c r="P40" s="191">
        <v>11.0</v>
      </c>
      <c r="Q40" s="191">
        <v>12.0</v>
      </c>
      <c r="R40" s="227">
        <f t="shared" ref="R40:S40" si="26">R10+R20+R22+R23+R21+R24+R30+R31+R32+R33+R34</f>
        <v>409263.28</v>
      </c>
      <c r="S40" s="227">
        <f t="shared" si="26"/>
        <v>3629369.52</v>
      </c>
    </row>
    <row r="41" ht="15.0" customHeight="1">
      <c r="A41" s="34" t="s">
        <v>38</v>
      </c>
      <c r="B41" s="24" t="s">
        <v>34</v>
      </c>
      <c r="C41" s="25">
        <v>1.0</v>
      </c>
      <c r="D41" s="26">
        <v>5000.0</v>
      </c>
      <c r="E41" s="27">
        <f t="shared" ref="E41:E53" si="27">C41*D41</f>
        <v>5000</v>
      </c>
      <c r="F41" s="28">
        <v>5000.0</v>
      </c>
      <c r="G41" s="33"/>
      <c r="H41" s="33"/>
      <c r="I41" s="33"/>
      <c r="J41" s="195"/>
      <c r="K41" s="195"/>
      <c r="L41" s="195"/>
      <c r="M41" s="195"/>
      <c r="N41" s="195"/>
      <c r="O41" s="195"/>
      <c r="P41" s="195"/>
      <c r="Q41" s="195"/>
    </row>
    <row r="42" ht="15.0" customHeight="1">
      <c r="A42" s="34" t="s">
        <v>39</v>
      </c>
      <c r="B42" s="24" t="s">
        <v>40</v>
      </c>
      <c r="C42" s="25">
        <v>1.0</v>
      </c>
      <c r="D42" s="26">
        <v>8000.0</v>
      </c>
      <c r="E42" s="27">
        <f t="shared" si="27"/>
        <v>8000</v>
      </c>
      <c r="F42" s="28">
        <v>8000.0</v>
      </c>
      <c r="G42" s="33"/>
      <c r="H42" s="33"/>
      <c r="I42" s="33"/>
      <c r="J42" s="195"/>
      <c r="K42" s="195"/>
      <c r="L42" s="195"/>
      <c r="M42" s="195"/>
      <c r="N42" s="195"/>
      <c r="O42" s="195"/>
      <c r="P42" s="195"/>
      <c r="Q42" s="195"/>
    </row>
    <row r="43" ht="15.0" customHeight="1">
      <c r="A43" s="34" t="s">
        <v>41</v>
      </c>
      <c r="B43" s="24" t="s">
        <v>31</v>
      </c>
      <c r="C43" s="25">
        <v>1.0</v>
      </c>
      <c r="D43" s="26">
        <v>1500.0</v>
      </c>
      <c r="E43" s="27">
        <f t="shared" si="27"/>
        <v>1500</v>
      </c>
      <c r="F43" s="28">
        <v>1500.0</v>
      </c>
      <c r="G43" s="33"/>
      <c r="H43" s="33"/>
      <c r="I43" s="33"/>
      <c r="J43" s="195"/>
      <c r="K43" s="195"/>
      <c r="L43" s="195"/>
      <c r="M43" s="195"/>
      <c r="N43" s="195"/>
      <c r="O43" s="195"/>
      <c r="P43" s="195"/>
      <c r="Q43" s="195"/>
    </row>
    <row r="44" ht="15.0" customHeight="1">
      <c r="A44" s="34" t="s">
        <v>42</v>
      </c>
      <c r="B44" s="24" t="s">
        <v>31</v>
      </c>
      <c r="C44" s="25">
        <v>2.0</v>
      </c>
      <c r="D44" s="26">
        <v>1000.0</v>
      </c>
      <c r="E44" s="27">
        <f t="shared" si="27"/>
        <v>2000</v>
      </c>
      <c r="F44" s="28">
        <v>2000.0</v>
      </c>
      <c r="G44" s="33"/>
      <c r="H44" s="33"/>
      <c r="I44" s="33"/>
      <c r="J44" s="195"/>
      <c r="K44" s="195"/>
      <c r="L44" s="195"/>
      <c r="M44" s="195"/>
      <c r="N44" s="195"/>
      <c r="O44" s="195"/>
      <c r="P44" s="195"/>
      <c r="Q44" s="195"/>
    </row>
    <row r="45" ht="15.0" customHeight="1">
      <c r="A45" s="35" t="s">
        <v>43</v>
      </c>
      <c r="B45" s="24" t="s">
        <v>31</v>
      </c>
      <c r="C45" s="25">
        <v>100.0</v>
      </c>
      <c r="D45" s="26">
        <v>15.0</v>
      </c>
      <c r="E45" s="27">
        <f t="shared" si="27"/>
        <v>1500</v>
      </c>
      <c r="F45" s="28">
        <v>1500.0</v>
      </c>
      <c r="G45" s="33"/>
      <c r="H45" s="33"/>
      <c r="I45" s="33"/>
      <c r="J45" s="195"/>
      <c r="K45" s="195"/>
      <c r="L45" s="195"/>
      <c r="M45" s="195"/>
      <c r="N45" s="195"/>
      <c r="O45" s="195"/>
      <c r="P45" s="195"/>
      <c r="Q45" s="195"/>
    </row>
    <row r="46" ht="15.0" customHeight="1">
      <c r="A46" s="34" t="s">
        <v>44</v>
      </c>
      <c r="B46" s="24" t="s">
        <v>31</v>
      </c>
      <c r="C46" s="25">
        <v>4.0</v>
      </c>
      <c r="D46" s="26">
        <v>5000.0</v>
      </c>
      <c r="E46" s="27">
        <f t="shared" si="27"/>
        <v>20000</v>
      </c>
      <c r="F46" s="28">
        <v>20000.0</v>
      </c>
      <c r="G46" s="33"/>
      <c r="H46" s="33"/>
      <c r="I46" s="33"/>
      <c r="J46" s="195"/>
      <c r="K46" s="195"/>
      <c r="L46" s="195"/>
      <c r="M46" s="195"/>
      <c r="N46" s="195"/>
      <c r="O46" s="195"/>
      <c r="P46" s="195"/>
      <c r="Q46" s="195"/>
    </row>
    <row r="47" ht="15.0" customHeight="1">
      <c r="A47" s="34" t="s">
        <v>45</v>
      </c>
      <c r="B47" s="24" t="s">
        <v>31</v>
      </c>
      <c r="C47" s="25">
        <v>1.0</v>
      </c>
      <c r="D47" s="26">
        <v>12000.0</v>
      </c>
      <c r="E47" s="27">
        <f t="shared" si="27"/>
        <v>12000</v>
      </c>
      <c r="F47" s="33"/>
      <c r="G47" s="28">
        <v>12000.0</v>
      </c>
      <c r="H47" s="33"/>
      <c r="I47" s="33"/>
      <c r="J47" s="195"/>
      <c r="K47" s="195"/>
      <c r="L47" s="195"/>
      <c r="M47" s="195"/>
      <c r="N47" s="195"/>
      <c r="O47" s="195"/>
      <c r="P47" s="195"/>
      <c r="Q47" s="195"/>
    </row>
    <row r="48" ht="15.0" customHeight="1">
      <c r="A48" s="36" t="s">
        <v>46</v>
      </c>
      <c r="B48" s="24" t="s">
        <v>31</v>
      </c>
      <c r="C48" s="25">
        <v>1.0</v>
      </c>
      <c r="D48" s="26">
        <v>5000.0</v>
      </c>
      <c r="E48" s="27">
        <f t="shared" si="27"/>
        <v>5000</v>
      </c>
      <c r="F48" s="33"/>
      <c r="G48" s="28">
        <v>5000.0</v>
      </c>
      <c r="H48" s="33"/>
      <c r="I48" s="33"/>
      <c r="J48" s="195"/>
      <c r="K48" s="195"/>
      <c r="L48" s="195"/>
      <c r="M48" s="195"/>
      <c r="N48" s="195"/>
      <c r="O48" s="195"/>
      <c r="P48" s="195"/>
      <c r="Q48" s="195"/>
    </row>
    <row r="49" ht="15.0" customHeight="1">
      <c r="A49" s="35" t="s">
        <v>47</v>
      </c>
      <c r="B49" s="24" t="s">
        <v>40</v>
      </c>
      <c r="C49" s="25">
        <v>2.0</v>
      </c>
      <c r="D49" s="26">
        <v>6000.0</v>
      </c>
      <c r="E49" s="27">
        <f t="shared" si="27"/>
        <v>12000</v>
      </c>
      <c r="F49" s="28">
        <v>12000.0</v>
      </c>
      <c r="G49" s="33"/>
      <c r="H49" s="33"/>
      <c r="I49" s="33"/>
      <c r="J49" s="195"/>
      <c r="K49" s="195"/>
      <c r="L49" s="195"/>
      <c r="M49" s="195"/>
      <c r="N49" s="195"/>
      <c r="O49" s="195"/>
      <c r="P49" s="195"/>
      <c r="Q49" s="195"/>
    </row>
    <row r="50" ht="15.0" customHeight="1">
      <c r="A50" s="34" t="s">
        <v>48</v>
      </c>
      <c r="B50" s="24" t="s">
        <v>40</v>
      </c>
      <c r="C50" s="25">
        <v>1.0</v>
      </c>
      <c r="D50" s="37">
        <v>2000.0</v>
      </c>
      <c r="E50" s="27">
        <f t="shared" si="27"/>
        <v>2000</v>
      </c>
      <c r="F50" s="28">
        <v>2000.0</v>
      </c>
      <c r="G50" s="33"/>
      <c r="H50" s="33"/>
      <c r="I50" s="33"/>
      <c r="J50" s="195"/>
      <c r="K50" s="195"/>
      <c r="L50" s="195"/>
      <c r="M50" s="195"/>
      <c r="N50" s="195"/>
      <c r="O50" s="195"/>
      <c r="P50" s="195"/>
      <c r="Q50" s="195"/>
    </row>
    <row r="51" ht="15.0" customHeight="1">
      <c r="A51" s="34" t="s">
        <v>49</v>
      </c>
      <c r="B51" s="24" t="s">
        <v>40</v>
      </c>
      <c r="C51" s="25">
        <v>1.0</v>
      </c>
      <c r="D51" s="37">
        <v>1000.0</v>
      </c>
      <c r="E51" s="27">
        <f t="shared" si="27"/>
        <v>1000</v>
      </c>
      <c r="F51" s="28">
        <v>1000.0</v>
      </c>
      <c r="G51" s="33"/>
      <c r="H51" s="33"/>
      <c r="I51" s="33"/>
      <c r="J51" s="195"/>
      <c r="K51" s="195"/>
      <c r="L51" s="195"/>
      <c r="M51" s="195"/>
      <c r="N51" s="195"/>
      <c r="O51" s="195"/>
      <c r="P51" s="195"/>
      <c r="Q51" s="195"/>
    </row>
    <row r="52" ht="15.75" customHeight="1">
      <c r="A52" s="34" t="s">
        <v>50</v>
      </c>
      <c r="B52" s="24" t="s">
        <v>31</v>
      </c>
      <c r="C52" s="25">
        <v>4.0</v>
      </c>
      <c r="D52" s="26">
        <v>1500.0</v>
      </c>
      <c r="E52" s="27">
        <f t="shared" si="27"/>
        <v>6000</v>
      </c>
      <c r="F52" s="33"/>
      <c r="G52" s="33"/>
      <c r="H52" s="28">
        <v>6000.0</v>
      </c>
      <c r="I52" s="33"/>
      <c r="J52" s="195"/>
      <c r="K52" s="195"/>
      <c r="L52" s="195"/>
      <c r="M52" s="195"/>
      <c r="N52" s="195"/>
      <c r="O52" s="195"/>
      <c r="P52" s="195"/>
      <c r="Q52" s="195"/>
    </row>
    <row r="53" ht="15.0" customHeight="1">
      <c r="A53" s="34" t="s">
        <v>51</v>
      </c>
      <c r="B53" s="24" t="s">
        <v>31</v>
      </c>
      <c r="C53" s="25">
        <v>1.0</v>
      </c>
      <c r="D53" s="38">
        <v>1000.0</v>
      </c>
      <c r="E53" s="27">
        <f t="shared" si="27"/>
        <v>1000</v>
      </c>
      <c r="F53" s="33"/>
      <c r="G53" s="33"/>
      <c r="H53" s="28">
        <v>1000.0</v>
      </c>
      <c r="I53" s="33"/>
      <c r="J53" s="228"/>
      <c r="K53" s="228"/>
      <c r="L53" s="228"/>
      <c r="M53" s="228"/>
      <c r="N53" s="228"/>
      <c r="O53" s="228"/>
      <c r="P53" s="228"/>
      <c r="Q53" s="228"/>
    </row>
    <row r="54" ht="15.0" customHeight="1">
      <c r="A54" s="188"/>
      <c r="B54" s="5"/>
      <c r="C54" s="5"/>
      <c r="D54" s="5"/>
      <c r="E54" s="5"/>
      <c r="F54" s="5"/>
      <c r="G54" s="5"/>
      <c r="H54" s="5"/>
      <c r="I54" s="5"/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</row>
    <row r="61" ht="15.0" customHeight="1">
      <c r="A61" s="5"/>
      <c r="B61" s="5"/>
      <c r="C61" s="5"/>
      <c r="D61" s="5"/>
      <c r="E61" s="5"/>
      <c r="F61" s="5"/>
      <c r="G61" s="5"/>
      <c r="H61" s="5"/>
      <c r="I61" s="5"/>
    </row>
    <row r="62" ht="15.0" customHeight="1">
      <c r="A62" s="5"/>
      <c r="B62" s="5"/>
      <c r="C62" s="5"/>
      <c r="D62" s="5"/>
      <c r="E62" s="5"/>
      <c r="F62" s="5"/>
      <c r="G62" s="5"/>
      <c r="H62" s="5"/>
      <c r="I62" s="5"/>
    </row>
    <row r="63" ht="15.0" customHeight="1">
      <c r="A63" s="5"/>
      <c r="B63" s="5"/>
      <c r="C63" s="5"/>
      <c r="D63" s="5"/>
      <c r="E63" s="5"/>
      <c r="F63" s="5"/>
      <c r="G63" s="5"/>
      <c r="H63" s="5"/>
      <c r="I63" s="5"/>
    </row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</sheetData>
  <mergeCells count="7">
    <mergeCell ref="A8:E8"/>
    <mergeCell ref="F8:Q8"/>
    <mergeCell ref="A18:E18"/>
    <mergeCell ref="F18:Q18"/>
    <mergeCell ref="A28:E28"/>
    <mergeCell ref="F28:Q28"/>
    <mergeCell ref="F39:Q3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9966"/>
    <pageSetUpPr/>
  </sheetPr>
  <sheetViews>
    <sheetView workbookViewId="0"/>
  </sheetViews>
  <sheetFormatPr customHeight="1" defaultColWidth="12.63" defaultRowHeight="15.0"/>
  <cols>
    <col customWidth="1" min="1" max="1" width="54.38"/>
    <col customWidth="1" min="2" max="9" width="8.0"/>
    <col customWidth="1" min="10" max="10" width="11.25"/>
    <col customWidth="1" min="11" max="11" width="8.0"/>
    <col customWidth="1" min="12" max="13" width="12.13"/>
    <col customWidth="1" min="14" max="14" width="12.25"/>
    <col customWidth="1" min="15" max="26" width="8.0"/>
  </cols>
  <sheetData>
    <row r="1" ht="12.75" customHeight="1"/>
    <row r="2" ht="18.0" customHeight="1">
      <c r="A2" s="2" t="s">
        <v>142</v>
      </c>
    </row>
    <row r="3" ht="12.75" customHeight="1"/>
    <row r="4" ht="15.75" customHeight="1">
      <c r="A4" s="6" t="s">
        <v>14</v>
      </c>
      <c r="B4" s="7"/>
    </row>
    <row r="5" ht="15.75" customHeight="1">
      <c r="A5" s="6" t="s">
        <v>15</v>
      </c>
      <c r="B5" s="7"/>
    </row>
    <row r="6" ht="15.75" customHeight="1">
      <c r="A6" s="6" t="s">
        <v>16</v>
      </c>
      <c r="B6" s="7"/>
    </row>
    <row r="7" ht="16.5" customHeight="1">
      <c r="A7" s="7"/>
      <c r="B7" s="7"/>
    </row>
    <row r="8" ht="15.75" customHeight="1">
      <c r="A8" s="200" t="s">
        <v>143</v>
      </c>
      <c r="B8" s="229" t="s">
        <v>144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1"/>
    </row>
    <row r="9" ht="15.75" customHeight="1">
      <c r="A9" s="232" t="s">
        <v>145</v>
      </c>
      <c r="B9" s="214">
        <v>1.0</v>
      </c>
      <c r="C9" s="214">
        <v>2.0</v>
      </c>
      <c r="D9" s="214">
        <v>3.0</v>
      </c>
      <c r="E9" s="214">
        <v>4.0</v>
      </c>
      <c r="F9" s="214">
        <v>5.0</v>
      </c>
      <c r="G9" s="214">
        <v>6.0</v>
      </c>
      <c r="H9" s="214">
        <v>7.0</v>
      </c>
      <c r="I9" s="214">
        <v>8.0</v>
      </c>
      <c r="J9" s="214">
        <v>9.0</v>
      </c>
      <c r="K9" s="214">
        <v>10.0</v>
      </c>
      <c r="L9" s="214">
        <v>11.0</v>
      </c>
      <c r="M9" s="214">
        <v>12.0</v>
      </c>
      <c r="N9" s="214" t="s">
        <v>26</v>
      </c>
    </row>
    <row r="10" ht="15.75" customHeight="1">
      <c r="A10" s="107" t="s">
        <v>146</v>
      </c>
      <c r="B10" s="233">
        <v>92169.19</v>
      </c>
      <c r="C10" s="234">
        <v>93090.88190000001</v>
      </c>
      <c r="D10" s="234">
        <v>94021.79071900001</v>
      </c>
      <c r="E10" s="234">
        <v>94962.00862619001</v>
      </c>
      <c r="F10" s="234">
        <v>95911.62871245191</v>
      </c>
      <c r="G10" s="234">
        <v>96870.74499957643</v>
      </c>
      <c r="H10" s="234">
        <v>97839.4524495722</v>
      </c>
      <c r="I10" s="234">
        <v>98817.84697406793</v>
      </c>
      <c r="J10" s="234">
        <v>99806.02544380861</v>
      </c>
      <c r="K10" s="234">
        <v>100804.0856982467</v>
      </c>
      <c r="L10" s="234">
        <v>101812.12655522916</v>
      </c>
      <c r="M10" s="234">
        <v>102830.24782078146</v>
      </c>
      <c r="N10" s="214" t="s">
        <v>147</v>
      </c>
    </row>
    <row r="11" ht="15.0" customHeight="1">
      <c r="A11" s="112" t="s">
        <v>84</v>
      </c>
      <c r="B11" s="235">
        <v>18195.79</v>
      </c>
      <c r="C11" s="205">
        <v>18377.747900000002</v>
      </c>
      <c r="D11" s="205">
        <v>18561.525379000002</v>
      </c>
      <c r="E11" s="205">
        <v>18747.140632790004</v>
      </c>
      <c r="F11" s="205">
        <v>18934.612039117903</v>
      </c>
      <c r="G11" s="205">
        <v>19123.958159509082</v>
      </c>
      <c r="H11" s="205">
        <v>19315.197741104173</v>
      </c>
      <c r="I11" s="205">
        <v>19508.349718515215</v>
      </c>
      <c r="J11" s="205">
        <v>19703.433215700366</v>
      </c>
      <c r="K11" s="205">
        <v>19900.46754785737</v>
      </c>
      <c r="L11" s="205">
        <v>20099.472223335943</v>
      </c>
      <c r="M11" s="205">
        <v>20300.4669455693</v>
      </c>
      <c r="N11" s="236">
        <f>SUM(B11:M11)</f>
        <v>230768.1615</v>
      </c>
    </row>
    <row r="12" ht="15.0" customHeight="1">
      <c r="A12" s="116" t="s">
        <v>85</v>
      </c>
      <c r="B12" s="237">
        <v>300000.0</v>
      </c>
      <c r="C12" s="205">
        <v>300000.0</v>
      </c>
      <c r="D12" s="205">
        <v>300000.0</v>
      </c>
      <c r="E12" s="205">
        <v>300000.0</v>
      </c>
      <c r="F12" s="205">
        <v>300000.0</v>
      </c>
      <c r="G12" s="205">
        <v>300000.0</v>
      </c>
      <c r="H12" s="205">
        <v>300000.0</v>
      </c>
      <c r="I12" s="205">
        <v>300000.0</v>
      </c>
      <c r="J12" s="205">
        <v>300000.0</v>
      </c>
      <c r="K12" s="205">
        <v>300000.0</v>
      </c>
      <c r="L12" s="205">
        <v>300000.0</v>
      </c>
      <c r="M12" s="205">
        <v>300000.0</v>
      </c>
      <c r="N12" s="236">
        <f>+I12</f>
        <v>300000</v>
      </c>
    </row>
    <row r="13" ht="15.75" customHeight="1">
      <c r="A13" s="113" t="s">
        <v>148</v>
      </c>
      <c r="B13" s="238">
        <f t="shared" ref="B13:M13" si="1">SUM(B10:B12)</f>
        <v>410364.98</v>
      </c>
      <c r="C13" s="238">
        <f t="shared" si="1"/>
        <v>411468.6298</v>
      </c>
      <c r="D13" s="238">
        <f t="shared" si="1"/>
        <v>412583.3161</v>
      </c>
      <c r="E13" s="238">
        <f t="shared" si="1"/>
        <v>413709.1493</v>
      </c>
      <c r="F13" s="238">
        <f t="shared" si="1"/>
        <v>414846.2408</v>
      </c>
      <c r="G13" s="238">
        <f t="shared" si="1"/>
        <v>415994.7032</v>
      </c>
      <c r="H13" s="238">
        <f t="shared" si="1"/>
        <v>417154.6502</v>
      </c>
      <c r="I13" s="238">
        <f t="shared" si="1"/>
        <v>418326.1967</v>
      </c>
      <c r="J13" s="238">
        <f t="shared" si="1"/>
        <v>419509.4587</v>
      </c>
      <c r="K13" s="238">
        <f t="shared" si="1"/>
        <v>420704.5532</v>
      </c>
      <c r="L13" s="238">
        <f t="shared" si="1"/>
        <v>421911.5988</v>
      </c>
      <c r="M13" s="238">
        <f t="shared" si="1"/>
        <v>423130.7148</v>
      </c>
      <c r="N13" s="239">
        <f>SUM(B13:M13)</f>
        <v>4999704.191</v>
      </c>
    </row>
    <row r="14" ht="15.75" customHeight="1">
      <c r="A14" s="240"/>
      <c r="B14" s="240"/>
      <c r="C14" s="240"/>
      <c r="D14" s="240"/>
      <c r="E14" s="240"/>
      <c r="F14" s="240"/>
      <c r="G14" s="240"/>
      <c r="H14" s="240"/>
      <c r="I14" s="240"/>
      <c r="J14" s="240"/>
      <c r="K14" s="240"/>
      <c r="L14" s="240"/>
      <c r="M14" s="240"/>
      <c r="N14" s="240"/>
    </row>
    <row r="15" ht="15.75" customHeight="1">
      <c r="A15" s="200" t="s">
        <v>143</v>
      </c>
      <c r="B15" s="241" t="s">
        <v>149</v>
      </c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1"/>
    </row>
    <row r="16" ht="15.75" customHeight="1">
      <c r="A16" s="232" t="s">
        <v>145</v>
      </c>
      <c r="B16" s="214">
        <v>1.0</v>
      </c>
      <c r="C16" s="214">
        <v>2.0</v>
      </c>
      <c r="D16" s="214">
        <v>3.0</v>
      </c>
      <c r="E16" s="214">
        <v>4.0</v>
      </c>
      <c r="F16" s="214">
        <v>5.0</v>
      </c>
      <c r="G16" s="214">
        <v>6.0</v>
      </c>
      <c r="H16" s="214">
        <v>7.0</v>
      </c>
      <c r="I16" s="214">
        <v>8.0</v>
      </c>
      <c r="J16" s="214">
        <v>9.0</v>
      </c>
      <c r="K16" s="214">
        <v>10.0</v>
      </c>
      <c r="L16" s="214">
        <v>11.0</v>
      </c>
      <c r="M16" s="214">
        <v>12.0</v>
      </c>
      <c r="N16" s="214" t="s">
        <v>26</v>
      </c>
    </row>
    <row r="17" ht="15.75" customHeight="1">
      <c r="A17" s="107" t="s">
        <v>146</v>
      </c>
      <c r="B17" s="234">
        <v>100464.4171</v>
      </c>
      <c r="C17" s="234">
        <v>100464.4171</v>
      </c>
      <c r="D17" s="234">
        <v>100464.4171</v>
      </c>
      <c r="E17" s="234">
        <v>100464.4171</v>
      </c>
      <c r="F17" s="234">
        <v>100464.4171</v>
      </c>
      <c r="G17" s="234">
        <v>100464.4171</v>
      </c>
      <c r="H17" s="234">
        <v>100464.4171</v>
      </c>
      <c r="I17" s="234">
        <v>100464.4171</v>
      </c>
      <c r="J17" s="234">
        <v>100464.4171</v>
      </c>
      <c r="K17" s="234">
        <v>100464.4171</v>
      </c>
      <c r="L17" s="234">
        <v>100464.4171</v>
      </c>
      <c r="M17" s="234">
        <v>100464.4171</v>
      </c>
      <c r="N17" s="214" t="s">
        <v>147</v>
      </c>
    </row>
    <row r="18" ht="15.0" customHeight="1">
      <c r="A18" s="112" t="s">
        <v>84</v>
      </c>
      <c r="B18" s="205">
        <v>19833.4111</v>
      </c>
      <c r="C18" s="205">
        <v>19833.4111</v>
      </c>
      <c r="D18" s="205">
        <v>19833.4111</v>
      </c>
      <c r="E18" s="205">
        <v>19833.4111</v>
      </c>
      <c r="F18" s="205">
        <v>19833.4111</v>
      </c>
      <c r="G18" s="205">
        <v>19833.4111</v>
      </c>
      <c r="H18" s="205">
        <v>19833.4111</v>
      </c>
      <c r="I18" s="205">
        <v>19833.4111</v>
      </c>
      <c r="J18" s="205">
        <v>19833.4111</v>
      </c>
      <c r="K18" s="205">
        <v>19833.4111</v>
      </c>
      <c r="L18" s="205">
        <v>19833.4111</v>
      </c>
      <c r="M18" s="205">
        <v>19833.4111</v>
      </c>
      <c r="N18" s="236">
        <f>+C18+I18</f>
        <v>39666.8222</v>
      </c>
    </row>
    <row r="19" ht="15.75" customHeight="1">
      <c r="A19" s="116" t="s">
        <v>85</v>
      </c>
      <c r="B19" s="242">
        <v>327000.0</v>
      </c>
      <c r="C19" s="242">
        <v>327000.0</v>
      </c>
      <c r="D19" s="242">
        <v>327000.0</v>
      </c>
      <c r="E19" s="242">
        <v>327000.0</v>
      </c>
      <c r="F19" s="242">
        <v>327000.0</v>
      </c>
      <c r="G19" s="242">
        <v>327000.0</v>
      </c>
      <c r="H19" s="242">
        <v>327000.0</v>
      </c>
      <c r="I19" s="242">
        <v>327000.0</v>
      </c>
      <c r="J19" s="242">
        <v>327000.0</v>
      </c>
      <c r="K19" s="242">
        <v>327000.0</v>
      </c>
      <c r="L19" s="242">
        <v>327000.0</v>
      </c>
      <c r="M19" s="242">
        <v>327000.0</v>
      </c>
      <c r="N19" s="195"/>
    </row>
    <row r="20" ht="15.75" customHeight="1">
      <c r="A20" s="113" t="s">
        <v>148</v>
      </c>
      <c r="B20" s="238">
        <f t="shared" ref="B20:M20" si="2">SUM(B17:B19)</f>
        <v>447297.8282</v>
      </c>
      <c r="C20" s="238">
        <f t="shared" si="2"/>
        <v>447297.8282</v>
      </c>
      <c r="D20" s="238">
        <f t="shared" si="2"/>
        <v>447297.8282</v>
      </c>
      <c r="E20" s="238">
        <f t="shared" si="2"/>
        <v>447297.8282</v>
      </c>
      <c r="F20" s="238">
        <f t="shared" si="2"/>
        <v>447297.8282</v>
      </c>
      <c r="G20" s="238">
        <f t="shared" si="2"/>
        <v>447297.8282</v>
      </c>
      <c r="H20" s="238">
        <f t="shared" si="2"/>
        <v>447297.8282</v>
      </c>
      <c r="I20" s="238">
        <f t="shared" si="2"/>
        <v>447297.8282</v>
      </c>
      <c r="J20" s="238">
        <f t="shared" si="2"/>
        <v>447297.8282</v>
      </c>
      <c r="K20" s="238">
        <f t="shared" si="2"/>
        <v>447297.8282</v>
      </c>
      <c r="L20" s="238">
        <f t="shared" si="2"/>
        <v>447297.8282</v>
      </c>
      <c r="M20" s="238">
        <f t="shared" si="2"/>
        <v>447297.8282</v>
      </c>
      <c r="N20" s="239"/>
    </row>
    <row r="21" ht="15.75" customHeight="1">
      <c r="A21" s="240"/>
      <c r="B21" s="240"/>
      <c r="C21" s="240"/>
      <c r="D21" s="240"/>
      <c r="E21" s="240"/>
      <c r="F21" s="240"/>
      <c r="G21" s="240"/>
      <c r="H21" s="240"/>
      <c r="I21" s="240"/>
      <c r="J21" s="240"/>
      <c r="K21" s="240"/>
      <c r="L21" s="240"/>
      <c r="M21" s="240"/>
      <c r="N21" s="240"/>
    </row>
    <row r="22" ht="15.75" customHeight="1">
      <c r="A22" s="200" t="s">
        <v>143</v>
      </c>
      <c r="B22" s="229" t="s">
        <v>150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1"/>
    </row>
    <row r="23" ht="15.75" customHeight="1">
      <c r="A23" s="232" t="s">
        <v>145</v>
      </c>
      <c r="B23" s="214">
        <v>1.0</v>
      </c>
      <c r="C23" s="214">
        <v>2.0</v>
      </c>
      <c r="D23" s="214">
        <v>3.0</v>
      </c>
      <c r="E23" s="214">
        <v>4.0</v>
      </c>
      <c r="F23" s="214">
        <v>5.0</v>
      </c>
      <c r="G23" s="214">
        <v>6.0</v>
      </c>
      <c r="H23" s="214">
        <v>7.0</v>
      </c>
      <c r="I23" s="214">
        <v>8.0</v>
      </c>
      <c r="J23" s="214">
        <v>9.0</v>
      </c>
      <c r="K23" s="214">
        <v>10.0</v>
      </c>
      <c r="L23" s="214">
        <v>11.0</v>
      </c>
      <c r="M23" s="214">
        <v>12.0</v>
      </c>
      <c r="N23" s="214" t="s">
        <v>26</v>
      </c>
    </row>
    <row r="24" ht="15.75" customHeight="1">
      <c r="A24" s="107" t="s">
        <v>146</v>
      </c>
      <c r="B24" s="205">
        <v>109506.21463900001</v>
      </c>
      <c r="C24" s="205">
        <v>109506.21463900001</v>
      </c>
      <c r="D24" s="205">
        <v>109506.21463900001</v>
      </c>
      <c r="E24" s="205">
        <v>109506.21463900001</v>
      </c>
      <c r="F24" s="205">
        <v>109506.21463900001</v>
      </c>
      <c r="G24" s="205">
        <v>109506.21463900001</v>
      </c>
      <c r="H24" s="205">
        <v>109506.21463900001</v>
      </c>
      <c r="I24" s="205">
        <v>109506.21463900001</v>
      </c>
      <c r="J24" s="205">
        <v>109506.21463900001</v>
      </c>
      <c r="K24" s="205">
        <v>109506.21463900001</v>
      </c>
      <c r="L24" s="205">
        <v>109506.21463900001</v>
      </c>
      <c r="M24" s="205">
        <v>109506.21463900001</v>
      </c>
      <c r="N24" s="214" t="s">
        <v>147</v>
      </c>
    </row>
    <row r="25" ht="15.0" customHeight="1">
      <c r="A25" s="112" t="s">
        <v>84</v>
      </c>
      <c r="B25" s="205">
        <v>21618.418099000002</v>
      </c>
      <c r="C25" s="205">
        <v>21618.418099000002</v>
      </c>
      <c r="D25" s="205">
        <v>21618.418099000002</v>
      </c>
      <c r="E25" s="205">
        <v>21618.418099000002</v>
      </c>
      <c r="F25" s="205">
        <v>21618.418099000002</v>
      </c>
      <c r="G25" s="205">
        <v>21618.418099000002</v>
      </c>
      <c r="H25" s="205">
        <v>21618.418099000002</v>
      </c>
      <c r="I25" s="205">
        <v>21618.418099000002</v>
      </c>
      <c r="J25" s="205">
        <v>21618.418099000002</v>
      </c>
      <c r="K25" s="205">
        <v>21618.418099000002</v>
      </c>
      <c r="L25" s="205">
        <v>21618.418099000002</v>
      </c>
      <c r="M25" s="205">
        <v>21618.418099000002</v>
      </c>
      <c r="N25" s="236">
        <f>+C24+I24</f>
        <v>219012.4293</v>
      </c>
    </row>
    <row r="26" ht="15.75" customHeight="1">
      <c r="A26" s="116" t="s">
        <v>85</v>
      </c>
      <c r="B26" s="242">
        <v>356430.0</v>
      </c>
      <c r="C26" s="242">
        <v>356430.0</v>
      </c>
      <c r="D26" s="242">
        <v>356430.0</v>
      </c>
      <c r="E26" s="242">
        <v>356430.0</v>
      </c>
      <c r="F26" s="242">
        <v>356430.0</v>
      </c>
      <c r="G26" s="242">
        <v>356430.0</v>
      </c>
      <c r="H26" s="242">
        <v>356430.0</v>
      </c>
      <c r="I26" s="242">
        <v>356430.0</v>
      </c>
      <c r="J26" s="242">
        <v>356430.0</v>
      </c>
      <c r="K26" s="242">
        <v>356430.0</v>
      </c>
      <c r="L26" s="242">
        <v>356430.0</v>
      </c>
      <c r="M26" s="242">
        <v>356430.0</v>
      </c>
      <c r="N26" s="236"/>
    </row>
    <row r="27" ht="15.75" customHeight="1">
      <c r="A27" s="113" t="s">
        <v>148</v>
      </c>
      <c r="B27" s="238">
        <f t="shared" ref="B27:M27" si="3">SUM(B24:B26)</f>
        <v>487554.6327</v>
      </c>
      <c r="C27" s="238">
        <f t="shared" si="3"/>
        <v>487554.6327</v>
      </c>
      <c r="D27" s="238">
        <f t="shared" si="3"/>
        <v>487554.6327</v>
      </c>
      <c r="E27" s="238">
        <f t="shared" si="3"/>
        <v>487554.6327</v>
      </c>
      <c r="F27" s="238">
        <f t="shared" si="3"/>
        <v>487554.6327</v>
      </c>
      <c r="G27" s="238">
        <f t="shared" si="3"/>
        <v>487554.6327</v>
      </c>
      <c r="H27" s="238">
        <f t="shared" si="3"/>
        <v>487554.6327</v>
      </c>
      <c r="I27" s="238">
        <f t="shared" si="3"/>
        <v>487554.6327</v>
      </c>
      <c r="J27" s="238">
        <f t="shared" si="3"/>
        <v>487554.6327</v>
      </c>
      <c r="K27" s="238">
        <f t="shared" si="3"/>
        <v>487554.6327</v>
      </c>
      <c r="L27" s="238">
        <f t="shared" si="3"/>
        <v>487554.6327</v>
      </c>
      <c r="M27" s="238">
        <f t="shared" si="3"/>
        <v>487554.6327</v>
      </c>
      <c r="N27" s="239"/>
    </row>
    <row r="28" ht="15.0" customHeight="1">
      <c r="A28" s="240"/>
      <c r="B28" s="240"/>
      <c r="C28" s="240"/>
      <c r="D28" s="240"/>
      <c r="E28" s="240"/>
      <c r="F28" s="240"/>
      <c r="G28" s="240"/>
      <c r="H28" s="240"/>
      <c r="I28" s="240"/>
      <c r="J28" s="240"/>
      <c r="K28" s="240"/>
      <c r="L28" s="240"/>
      <c r="M28" s="240"/>
      <c r="N28" s="240"/>
    </row>
    <row r="29" ht="15.75" customHeight="1">
      <c r="A29" s="200" t="s">
        <v>143</v>
      </c>
      <c r="B29" s="104" t="s">
        <v>151</v>
      </c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16"/>
    </row>
    <row r="30" ht="15.75" customHeight="1">
      <c r="A30" s="162" t="s">
        <v>145</v>
      </c>
      <c r="B30" s="214">
        <v>1.0</v>
      </c>
      <c r="C30" s="214">
        <v>2.0</v>
      </c>
      <c r="D30" s="214">
        <v>3.0</v>
      </c>
      <c r="E30" s="214">
        <v>4.0</v>
      </c>
      <c r="F30" s="214">
        <v>5.0</v>
      </c>
      <c r="G30" s="214">
        <v>6.0</v>
      </c>
      <c r="H30" s="214">
        <v>7.0</v>
      </c>
      <c r="I30" s="214">
        <v>8.0</v>
      </c>
      <c r="J30" s="214">
        <v>9.0</v>
      </c>
      <c r="K30" s="214">
        <v>10.0</v>
      </c>
      <c r="L30" s="214">
        <v>11.0</v>
      </c>
      <c r="M30" s="214">
        <v>12.0</v>
      </c>
      <c r="N30" s="243"/>
    </row>
    <row r="31" ht="15.75" customHeight="1">
      <c r="A31" s="107" t="s">
        <v>146</v>
      </c>
      <c r="B31" s="234">
        <v>119361.77395651</v>
      </c>
      <c r="C31" s="234">
        <v>119361.77395651</v>
      </c>
      <c r="D31" s="234">
        <v>119361.77395651</v>
      </c>
      <c r="E31" s="234">
        <v>119361.77395651</v>
      </c>
      <c r="F31" s="234">
        <v>119361.77395651</v>
      </c>
      <c r="G31" s="234">
        <v>119361.77395651</v>
      </c>
      <c r="H31" s="234">
        <v>119361.77395651</v>
      </c>
      <c r="I31" s="234">
        <v>119361.77395651</v>
      </c>
      <c r="J31" s="234">
        <v>119361.77395651</v>
      </c>
      <c r="K31" s="234">
        <v>119361.77395651</v>
      </c>
      <c r="L31" s="234">
        <v>119361.77395651</v>
      </c>
      <c r="M31" s="234">
        <v>119361.77395651</v>
      </c>
      <c r="N31" s="214" t="s">
        <v>26</v>
      </c>
    </row>
    <row r="32" ht="15.75" customHeight="1">
      <c r="A32" s="112" t="s">
        <v>84</v>
      </c>
      <c r="B32" s="205">
        <v>23564.07572791</v>
      </c>
      <c r="C32" s="205">
        <v>23564.07572791</v>
      </c>
      <c r="D32" s="205">
        <v>23564.07572791</v>
      </c>
      <c r="E32" s="205">
        <v>23564.07572791</v>
      </c>
      <c r="F32" s="205">
        <v>23564.07572791</v>
      </c>
      <c r="G32" s="205">
        <v>23564.07572791</v>
      </c>
      <c r="H32" s="205">
        <v>23564.07572791</v>
      </c>
      <c r="I32" s="205">
        <v>23564.07572791</v>
      </c>
      <c r="J32" s="205">
        <v>23564.07572791</v>
      </c>
      <c r="K32" s="205">
        <v>23564.07572791</v>
      </c>
      <c r="L32" s="205">
        <v>23564.07572791</v>
      </c>
      <c r="M32" s="205">
        <v>23564.07572791</v>
      </c>
      <c r="N32" s="214" t="s">
        <v>147</v>
      </c>
    </row>
    <row r="33" ht="15.75" customHeight="1">
      <c r="A33" s="116" t="s">
        <v>85</v>
      </c>
      <c r="B33" s="206">
        <v>388508.7</v>
      </c>
      <c r="C33" s="206">
        <v>388508.7</v>
      </c>
      <c r="D33" s="206">
        <v>388508.7</v>
      </c>
      <c r="E33" s="206">
        <v>388508.7</v>
      </c>
      <c r="F33" s="206">
        <v>388508.7</v>
      </c>
      <c r="G33" s="206">
        <v>388508.7</v>
      </c>
      <c r="H33" s="206">
        <v>388508.7</v>
      </c>
      <c r="I33" s="206">
        <v>388508.7</v>
      </c>
      <c r="J33" s="206">
        <v>388508.7</v>
      </c>
      <c r="K33" s="206">
        <v>388508.7</v>
      </c>
      <c r="L33" s="206">
        <v>388508.7</v>
      </c>
      <c r="M33" s="206">
        <v>388508.7</v>
      </c>
      <c r="N33" s="214"/>
    </row>
    <row r="34" ht="15.75" customHeight="1">
      <c r="A34" s="113" t="s">
        <v>148</v>
      </c>
      <c r="B34" s="238">
        <f t="shared" ref="B34:M34" si="4">SUM(B31:B33)</f>
        <v>531434.5497</v>
      </c>
      <c r="C34" s="238">
        <f t="shared" si="4"/>
        <v>531434.5497</v>
      </c>
      <c r="D34" s="238">
        <f t="shared" si="4"/>
        <v>531434.5497</v>
      </c>
      <c r="E34" s="238">
        <f t="shared" si="4"/>
        <v>531434.5497</v>
      </c>
      <c r="F34" s="238">
        <f t="shared" si="4"/>
        <v>531434.5497</v>
      </c>
      <c r="G34" s="238">
        <f t="shared" si="4"/>
        <v>531434.5497</v>
      </c>
      <c r="H34" s="238">
        <f t="shared" si="4"/>
        <v>531434.5497</v>
      </c>
      <c r="I34" s="238">
        <f t="shared" si="4"/>
        <v>531434.5497</v>
      </c>
      <c r="J34" s="238">
        <f t="shared" si="4"/>
        <v>531434.5497</v>
      </c>
      <c r="K34" s="238">
        <f t="shared" si="4"/>
        <v>531434.5497</v>
      </c>
      <c r="L34" s="238">
        <f t="shared" si="4"/>
        <v>531434.5497</v>
      </c>
      <c r="M34" s="238">
        <f t="shared" si="4"/>
        <v>531434.5497</v>
      </c>
      <c r="N34" s="239">
        <f>+C34+I34</f>
        <v>1062869.099</v>
      </c>
    </row>
    <row r="35" ht="15.0" customHeight="1">
      <c r="A35" s="240"/>
      <c r="B35" s="240"/>
      <c r="C35" s="240"/>
      <c r="D35" s="240"/>
      <c r="E35" s="240"/>
      <c r="F35" s="240"/>
      <c r="G35" s="240"/>
      <c r="H35" s="240"/>
      <c r="I35" s="240"/>
      <c r="J35" s="240"/>
      <c r="K35" s="240"/>
      <c r="L35" s="240"/>
      <c r="M35" s="240"/>
      <c r="N35" s="240"/>
    </row>
    <row r="36" ht="15.0" customHeight="1">
      <c r="A36" s="240"/>
      <c r="B36" s="240"/>
      <c r="C36" s="240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</row>
    <row r="37" ht="15.0" customHeight="1">
      <c r="A37" s="200" t="s">
        <v>143</v>
      </c>
      <c r="B37" s="104" t="s">
        <v>151</v>
      </c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16"/>
    </row>
    <row r="38" ht="12.75" customHeight="1">
      <c r="A38" s="162" t="s">
        <v>145</v>
      </c>
      <c r="B38" s="214">
        <v>1.0</v>
      </c>
      <c r="C38" s="214">
        <v>2.0</v>
      </c>
      <c r="D38" s="214">
        <v>3.0</v>
      </c>
      <c r="E38" s="214">
        <v>4.0</v>
      </c>
      <c r="F38" s="214">
        <v>5.0</v>
      </c>
      <c r="G38" s="214">
        <v>6.0</v>
      </c>
      <c r="H38" s="214">
        <v>7.0</v>
      </c>
      <c r="I38" s="214">
        <v>8.0</v>
      </c>
      <c r="J38" s="214">
        <v>9.0</v>
      </c>
      <c r="K38" s="214">
        <v>10.0</v>
      </c>
      <c r="L38" s="214">
        <v>11.0</v>
      </c>
      <c r="M38" s="214">
        <v>12.0</v>
      </c>
      <c r="N38" s="243"/>
    </row>
    <row r="39" ht="12.75" customHeight="1">
      <c r="A39" s="107" t="s">
        <v>146</v>
      </c>
      <c r="B39" s="234">
        <v>130104.33361259592</v>
      </c>
      <c r="C39" s="234">
        <v>130104.33361259592</v>
      </c>
      <c r="D39" s="234">
        <v>130104.33361259592</v>
      </c>
      <c r="E39" s="234">
        <v>130104.33361259592</v>
      </c>
      <c r="F39" s="234">
        <v>130104.33361259592</v>
      </c>
      <c r="G39" s="234">
        <v>130104.33361259592</v>
      </c>
      <c r="H39" s="234">
        <v>130104.33361259592</v>
      </c>
      <c r="I39" s="234">
        <v>130104.33361259592</v>
      </c>
      <c r="J39" s="234">
        <v>130104.33361259592</v>
      </c>
      <c r="K39" s="234">
        <v>130104.33361259592</v>
      </c>
      <c r="L39" s="234">
        <v>130104.33361259592</v>
      </c>
      <c r="M39" s="234">
        <v>130104.33361259592</v>
      </c>
      <c r="N39" s="214" t="s">
        <v>26</v>
      </c>
    </row>
    <row r="40" ht="12.75" customHeight="1">
      <c r="A40" s="112" t="s">
        <v>84</v>
      </c>
      <c r="B40" s="205">
        <v>25684.842543421903</v>
      </c>
      <c r="C40" s="205">
        <v>25684.842543421903</v>
      </c>
      <c r="D40" s="205">
        <v>25684.842543421903</v>
      </c>
      <c r="E40" s="205">
        <v>25684.842543421903</v>
      </c>
      <c r="F40" s="205">
        <v>25684.842543421903</v>
      </c>
      <c r="G40" s="205">
        <v>25684.842543421903</v>
      </c>
      <c r="H40" s="205">
        <v>25684.842543421903</v>
      </c>
      <c r="I40" s="205">
        <v>25684.842543421903</v>
      </c>
      <c r="J40" s="205">
        <v>25684.842543421903</v>
      </c>
      <c r="K40" s="205">
        <v>25684.842543421903</v>
      </c>
      <c r="L40" s="205">
        <v>25684.842543421903</v>
      </c>
      <c r="M40" s="205">
        <v>25684.842543421903</v>
      </c>
      <c r="N40" s="214" t="s">
        <v>147</v>
      </c>
    </row>
    <row r="41" ht="12.75" customHeight="1">
      <c r="A41" s="116" t="s">
        <v>85</v>
      </c>
      <c r="B41" s="205">
        <v>423474.48300000007</v>
      </c>
      <c r="C41" s="205">
        <v>423474.48300000007</v>
      </c>
      <c r="D41" s="205">
        <v>423474.48300000007</v>
      </c>
      <c r="E41" s="205">
        <v>423474.48300000007</v>
      </c>
      <c r="F41" s="205">
        <v>423474.48300000007</v>
      </c>
      <c r="G41" s="205">
        <v>423474.48300000007</v>
      </c>
      <c r="H41" s="205">
        <v>423474.48300000007</v>
      </c>
      <c r="I41" s="205">
        <v>423474.48300000007</v>
      </c>
      <c r="J41" s="205">
        <v>423474.48300000007</v>
      </c>
      <c r="K41" s="205">
        <v>423474.48300000007</v>
      </c>
      <c r="L41" s="205">
        <v>423474.48300000007</v>
      </c>
      <c r="M41" s="205">
        <v>423474.48300000007</v>
      </c>
      <c r="N41" s="214"/>
    </row>
    <row r="42" ht="12.75" customHeight="1">
      <c r="A42" s="113" t="s">
        <v>148</v>
      </c>
      <c r="B42" s="238">
        <f t="shared" ref="B42:M42" si="5">SUM(B39:B41)</f>
        <v>579263.6592</v>
      </c>
      <c r="C42" s="238">
        <f t="shared" si="5"/>
        <v>579263.6592</v>
      </c>
      <c r="D42" s="238">
        <f t="shared" si="5"/>
        <v>579263.6592</v>
      </c>
      <c r="E42" s="238">
        <f t="shared" si="5"/>
        <v>579263.6592</v>
      </c>
      <c r="F42" s="238">
        <f t="shared" si="5"/>
        <v>579263.6592</v>
      </c>
      <c r="G42" s="238">
        <f t="shared" si="5"/>
        <v>579263.6592</v>
      </c>
      <c r="H42" s="238">
        <f t="shared" si="5"/>
        <v>579263.6592</v>
      </c>
      <c r="I42" s="238">
        <f t="shared" si="5"/>
        <v>579263.6592</v>
      </c>
      <c r="J42" s="238">
        <f t="shared" si="5"/>
        <v>579263.6592</v>
      </c>
      <c r="K42" s="238">
        <f t="shared" si="5"/>
        <v>579263.6592</v>
      </c>
      <c r="L42" s="238">
        <f t="shared" si="5"/>
        <v>579263.6592</v>
      </c>
      <c r="M42" s="238">
        <f t="shared" si="5"/>
        <v>579263.6592</v>
      </c>
      <c r="N42" s="239">
        <f>+C42+I42</f>
        <v>1158527.318</v>
      </c>
    </row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B8:N8"/>
    <mergeCell ref="B37:N37"/>
    <mergeCell ref="B29:N29"/>
    <mergeCell ref="B22:N22"/>
    <mergeCell ref="B15:N1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9966"/>
    <pageSetUpPr/>
  </sheetPr>
  <sheetViews>
    <sheetView workbookViewId="0"/>
  </sheetViews>
  <sheetFormatPr customHeight="1" defaultColWidth="12.63" defaultRowHeight="15.0"/>
  <cols>
    <col customWidth="1" min="1" max="1" width="31.75"/>
    <col customWidth="1" min="2" max="2" width="9.63"/>
    <col customWidth="1" min="3" max="4" width="22.75"/>
    <col customWidth="1" min="5" max="5" width="31.75"/>
    <col customWidth="1" min="6" max="6" width="35.63"/>
    <col customWidth="1" min="7" max="7" width="18.88"/>
    <col customWidth="1" min="8" max="8" width="17.0"/>
    <col customWidth="1" min="9" max="9" width="8.0"/>
    <col customWidth="1" min="10" max="10" width="28.5"/>
    <col customWidth="1" min="11" max="26" width="8.0"/>
  </cols>
  <sheetData>
    <row r="1" ht="18.0" customHeight="1">
      <c r="A1" s="2" t="s">
        <v>152</v>
      </c>
    </row>
    <row r="2" ht="12.75" customHeight="1"/>
    <row r="3" ht="15.75" customHeight="1">
      <c r="A3" s="6" t="s">
        <v>14</v>
      </c>
    </row>
    <row r="4" ht="15.75" customHeight="1">
      <c r="A4" s="6" t="s">
        <v>15</v>
      </c>
    </row>
    <row r="5" ht="12.75" customHeight="1">
      <c r="A5" s="6" t="s">
        <v>16</v>
      </c>
      <c r="J5" s="244"/>
    </row>
    <row r="6" ht="12.75" customHeight="1">
      <c r="J6" s="244"/>
    </row>
    <row r="7" ht="15.75" customHeight="1">
      <c r="A7" s="245" t="s">
        <v>153</v>
      </c>
      <c r="B7" s="200" t="s">
        <v>154</v>
      </c>
      <c r="C7" s="200" t="s">
        <v>155</v>
      </c>
      <c r="D7" s="200" t="s">
        <v>156</v>
      </c>
      <c r="E7" s="200" t="s">
        <v>157</v>
      </c>
      <c r="F7" s="200" t="s">
        <v>158</v>
      </c>
      <c r="G7" s="200" t="s">
        <v>159</v>
      </c>
      <c r="H7" s="200" t="s">
        <v>160</v>
      </c>
      <c r="J7" s="244"/>
    </row>
    <row r="8" ht="15.75" customHeight="1">
      <c r="A8" s="34" t="s">
        <v>44</v>
      </c>
      <c r="B8" s="150">
        <f>'ESTRUCTURA FINANCIERA'!E25</f>
        <v>20000</v>
      </c>
      <c r="C8" s="203" t="s">
        <v>161</v>
      </c>
      <c r="D8" s="246">
        <v>0.1</v>
      </c>
      <c r="E8" s="197">
        <f t="shared" ref="E8:E13" si="1">B8*D8</f>
        <v>2000</v>
      </c>
      <c r="F8" s="197">
        <f t="shared" ref="F8:F13" si="2">E8/12</f>
        <v>166.6666667</v>
      </c>
      <c r="G8" s="195">
        <f t="shared" ref="G8:G13" si="3">E8*1</f>
        <v>2000</v>
      </c>
      <c r="H8" s="247">
        <f t="shared" ref="H8:H13" si="4">B8-G8</f>
        <v>18000</v>
      </c>
      <c r="J8" s="244"/>
    </row>
    <row r="9" ht="15.0" customHeight="1">
      <c r="A9" s="34" t="s">
        <v>42</v>
      </c>
      <c r="B9" s="150">
        <f>'ESTRUCTURA FINANCIERA'!E23</f>
        <v>2000</v>
      </c>
      <c r="C9" s="203" t="s">
        <v>161</v>
      </c>
      <c r="D9" s="246">
        <v>0.1</v>
      </c>
      <c r="E9" s="197">
        <f t="shared" si="1"/>
        <v>200</v>
      </c>
      <c r="F9" s="197">
        <f t="shared" si="2"/>
        <v>16.66666667</v>
      </c>
      <c r="G9" s="195">
        <f t="shared" si="3"/>
        <v>200</v>
      </c>
      <c r="H9" s="247">
        <f t="shared" si="4"/>
        <v>1800</v>
      </c>
      <c r="J9" s="248"/>
    </row>
    <row r="10" ht="18.75" customHeight="1">
      <c r="A10" s="34" t="s">
        <v>39</v>
      </c>
      <c r="B10" s="150">
        <f>'ESTRUCTURA FINANCIERA'!D21</f>
        <v>8000</v>
      </c>
      <c r="C10" s="203" t="s">
        <v>162</v>
      </c>
      <c r="D10" s="246">
        <v>0.3</v>
      </c>
      <c r="E10" s="197">
        <f t="shared" si="1"/>
        <v>2400</v>
      </c>
      <c r="F10" s="197">
        <f t="shared" si="2"/>
        <v>200</v>
      </c>
      <c r="G10" s="195">
        <f t="shared" si="3"/>
        <v>2400</v>
      </c>
      <c r="H10" s="247">
        <f t="shared" si="4"/>
        <v>5600</v>
      </c>
      <c r="J10" s="244"/>
    </row>
    <row r="11" ht="18.0" customHeight="1">
      <c r="A11" s="34" t="s">
        <v>45</v>
      </c>
      <c r="B11" s="150">
        <f>'ESTRUCTURA FINANCIERA'!E26</f>
        <v>12000</v>
      </c>
      <c r="C11" s="203" t="s">
        <v>161</v>
      </c>
      <c r="D11" s="246">
        <v>0.1</v>
      </c>
      <c r="E11" s="197">
        <f t="shared" si="1"/>
        <v>1200</v>
      </c>
      <c r="F11" s="197">
        <f t="shared" si="2"/>
        <v>100</v>
      </c>
      <c r="G11" s="195">
        <f t="shared" si="3"/>
        <v>1200</v>
      </c>
      <c r="H11" s="247">
        <f t="shared" si="4"/>
        <v>10800</v>
      </c>
      <c r="J11" s="244"/>
    </row>
    <row r="12" ht="15.0" customHeight="1">
      <c r="A12" s="36" t="s">
        <v>46</v>
      </c>
      <c r="B12" s="150">
        <f>'ESTRUCTURA FINANCIERA'!E27</f>
        <v>5000</v>
      </c>
      <c r="C12" s="203" t="s">
        <v>162</v>
      </c>
      <c r="D12" s="246">
        <v>0.3</v>
      </c>
      <c r="E12" s="197">
        <f t="shared" si="1"/>
        <v>1500</v>
      </c>
      <c r="F12" s="197">
        <f t="shared" si="2"/>
        <v>125</v>
      </c>
      <c r="G12" s="195">
        <f t="shared" si="3"/>
        <v>1500</v>
      </c>
      <c r="H12" s="247">
        <f t="shared" si="4"/>
        <v>3500</v>
      </c>
      <c r="J12" s="249"/>
    </row>
    <row r="13" ht="18.0" customHeight="1">
      <c r="A13" s="34" t="s">
        <v>50</v>
      </c>
      <c r="B13" s="150">
        <f>'ESTRUCTURA FINANCIERA'!E31</f>
        <v>6000</v>
      </c>
      <c r="C13" s="203" t="s">
        <v>161</v>
      </c>
      <c r="D13" s="246">
        <v>0.1</v>
      </c>
      <c r="E13" s="197">
        <f t="shared" si="1"/>
        <v>600</v>
      </c>
      <c r="F13" s="197">
        <f t="shared" si="2"/>
        <v>50</v>
      </c>
      <c r="G13" s="195">
        <f t="shared" si="3"/>
        <v>600</v>
      </c>
      <c r="H13" s="247">
        <f t="shared" si="4"/>
        <v>5400</v>
      </c>
      <c r="J13" s="248"/>
    </row>
    <row r="14" ht="15.75" customHeight="1">
      <c r="A14" s="33"/>
      <c r="B14" s="150"/>
      <c r="C14" s="197"/>
      <c r="D14" s="197"/>
      <c r="E14" s="197"/>
      <c r="F14" s="197"/>
      <c r="G14" s="195"/>
      <c r="H14" s="195"/>
      <c r="J14" s="244"/>
    </row>
    <row r="15" ht="15.75" customHeight="1">
      <c r="A15" s="33"/>
      <c r="B15" s="150"/>
      <c r="C15" s="197"/>
      <c r="D15" s="197"/>
      <c r="E15" s="197"/>
      <c r="F15" s="197"/>
      <c r="G15" s="195"/>
      <c r="H15" s="195"/>
      <c r="J15" s="244"/>
    </row>
    <row r="16" ht="15.0" customHeight="1">
      <c r="A16" s="250"/>
      <c r="B16" s="80"/>
      <c r="C16" s="215"/>
      <c r="D16" s="215"/>
      <c r="E16" s="215"/>
      <c r="F16" s="215"/>
      <c r="J16" s="244"/>
    </row>
    <row r="17" ht="15.0" customHeight="1">
      <c r="A17" s="5"/>
      <c r="B17" s="80"/>
      <c r="C17" s="215"/>
      <c r="D17" s="215"/>
      <c r="E17" s="215"/>
      <c r="F17" s="215"/>
      <c r="G17" s="159"/>
      <c r="H17" s="159"/>
      <c r="I17" s="159"/>
      <c r="J17" s="244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</row>
    <row r="18" ht="15.75" customHeight="1">
      <c r="A18" s="232"/>
      <c r="B18" s="251"/>
      <c r="C18" s="251"/>
      <c r="D18" s="251"/>
      <c r="E18" s="251"/>
      <c r="F18" s="251"/>
      <c r="G18" s="251"/>
      <c r="H18" s="251"/>
    </row>
    <row r="19" ht="15.75" customHeight="1">
      <c r="A19" s="232"/>
      <c r="B19" s="80"/>
      <c r="C19" s="215"/>
      <c r="D19" s="215"/>
      <c r="E19" s="215"/>
      <c r="F19" s="215"/>
      <c r="G19" s="159"/>
      <c r="H19" s="159"/>
    </row>
    <row r="20" ht="15.0" customHeight="1">
      <c r="A20" s="5"/>
      <c r="B20" s="80"/>
      <c r="C20" s="215"/>
      <c r="D20" s="215"/>
      <c r="E20" s="215"/>
      <c r="F20" s="215"/>
      <c r="G20" s="159"/>
      <c r="H20" s="159"/>
    </row>
    <row r="21" ht="15.0" customHeight="1">
      <c r="A21" s="5"/>
      <c r="B21" s="80"/>
      <c r="C21" s="215"/>
      <c r="D21" s="215"/>
      <c r="E21" s="215"/>
      <c r="F21" s="215"/>
      <c r="G21" s="159"/>
      <c r="H21" s="159"/>
    </row>
    <row r="22" ht="15.0" customHeight="1">
      <c r="A22" s="5"/>
      <c r="B22" s="80"/>
      <c r="C22" s="215"/>
      <c r="D22" s="215"/>
      <c r="E22" s="215"/>
      <c r="F22" s="215"/>
      <c r="G22" s="159"/>
      <c r="H22" s="159"/>
    </row>
    <row r="23" ht="15.0" customHeight="1">
      <c r="A23" s="5"/>
      <c r="B23" s="80"/>
      <c r="C23" s="215"/>
      <c r="D23" s="215"/>
      <c r="E23" s="215"/>
      <c r="F23" s="215"/>
      <c r="G23" s="159"/>
      <c r="H23" s="159"/>
    </row>
    <row r="24" ht="15.0" customHeight="1">
      <c r="A24" s="5"/>
      <c r="B24" s="80"/>
      <c r="C24" s="215"/>
      <c r="D24" s="215"/>
      <c r="E24" s="215"/>
      <c r="F24" s="215"/>
      <c r="G24" s="159"/>
      <c r="H24" s="159"/>
    </row>
    <row r="25" ht="15.0" customHeight="1">
      <c r="A25" s="5"/>
      <c r="B25" s="80"/>
      <c r="C25" s="215"/>
      <c r="D25" s="215"/>
      <c r="E25" s="215"/>
      <c r="F25" s="215"/>
      <c r="G25" s="159"/>
      <c r="H25" s="159"/>
    </row>
    <row r="26" ht="15.0" customHeight="1">
      <c r="A26" s="5"/>
      <c r="B26" s="80"/>
      <c r="C26" s="215"/>
      <c r="D26" s="215"/>
      <c r="E26" s="215"/>
      <c r="F26" s="215"/>
      <c r="G26" s="159"/>
      <c r="H26" s="159"/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12.88"/>
    <col customWidth="1" min="4" max="5" width="14.63"/>
    <col customWidth="1" min="6" max="6" width="8.0"/>
    <col customWidth="1" min="7" max="7" width="14.38"/>
    <col customWidth="1" min="8" max="8" width="13.25"/>
    <col customWidth="1" min="9" max="26" width="8.0"/>
  </cols>
  <sheetData>
    <row r="1" ht="18.0" customHeight="1">
      <c r="A1" s="157" t="s">
        <v>163</v>
      </c>
    </row>
    <row r="2" ht="12.75" customHeight="1"/>
    <row r="3" ht="15.75" customHeight="1">
      <c r="A3" s="7" t="s">
        <v>164</v>
      </c>
      <c r="B3" s="7"/>
      <c r="C3" s="7"/>
      <c r="D3" s="7"/>
      <c r="E3" s="7"/>
      <c r="F3" s="5"/>
      <c r="G3" s="5"/>
      <c r="H3" s="5"/>
      <c r="I3" s="5"/>
    </row>
    <row r="4" ht="15.75" customHeight="1">
      <c r="A4" s="7" t="s">
        <v>165</v>
      </c>
      <c r="B4" s="7"/>
      <c r="C4" s="7"/>
      <c r="D4" s="7"/>
      <c r="E4" s="7"/>
      <c r="F4" s="5"/>
      <c r="G4" s="5"/>
      <c r="H4" s="5"/>
      <c r="I4" s="5"/>
    </row>
    <row r="5" ht="15.75" customHeight="1">
      <c r="A5" s="7" t="s">
        <v>166</v>
      </c>
      <c r="B5" s="7"/>
      <c r="C5" s="8"/>
      <c r="D5" s="8"/>
      <c r="E5" s="7"/>
      <c r="F5" s="5"/>
      <c r="G5" s="5"/>
      <c r="H5" s="5"/>
      <c r="I5" s="5"/>
    </row>
    <row r="6" ht="15.75" customHeight="1">
      <c r="A6" s="8" t="s">
        <v>167</v>
      </c>
    </row>
    <row r="7" ht="12.75" customHeight="1">
      <c r="A7" s="252"/>
      <c r="B7" s="253"/>
      <c r="C7" s="253"/>
      <c r="D7" s="253"/>
      <c r="E7" s="253"/>
      <c r="F7" s="253"/>
      <c r="G7" s="253"/>
      <c r="H7" s="253"/>
      <c r="I7" s="253"/>
    </row>
    <row r="8" ht="25.5" customHeight="1">
      <c r="A8" s="254" t="s">
        <v>121</v>
      </c>
      <c r="B8" s="254" t="s">
        <v>168</v>
      </c>
      <c r="C8" s="254" t="s">
        <v>169</v>
      </c>
      <c r="D8" s="254" t="s">
        <v>170</v>
      </c>
      <c r="E8" s="254" t="s">
        <v>171</v>
      </c>
      <c r="F8" s="254" t="s">
        <v>172</v>
      </c>
      <c r="G8" s="254" t="s">
        <v>173</v>
      </c>
      <c r="H8" s="254" t="s">
        <v>174</v>
      </c>
      <c r="I8" s="255" t="s">
        <v>175</v>
      </c>
    </row>
    <row r="9" ht="12.75" customHeight="1">
      <c r="A9" s="256">
        <v>0.0</v>
      </c>
      <c r="B9" s="257">
        <v>0.0</v>
      </c>
      <c r="C9" s="195"/>
      <c r="D9" s="195"/>
      <c r="E9" s="195"/>
      <c r="F9" s="195"/>
      <c r="G9" s="195"/>
      <c r="H9" s="258"/>
      <c r="I9" s="259"/>
    </row>
    <row r="10" ht="12.75" customHeight="1">
      <c r="A10" s="256"/>
      <c r="B10" s="260"/>
      <c r="C10" s="261">
        <f t="shared" ref="C10:C12" si="1">H9*$B$9</f>
        <v>0</v>
      </c>
      <c r="D10" s="261"/>
      <c r="E10" s="261"/>
      <c r="F10" s="262"/>
      <c r="G10" s="262"/>
      <c r="H10" s="262"/>
      <c r="I10" s="263"/>
    </row>
    <row r="11" ht="12.75" customHeight="1">
      <c r="A11" s="256"/>
      <c r="B11" s="260"/>
      <c r="C11" s="261">
        <f t="shared" si="1"/>
        <v>0</v>
      </c>
      <c r="D11" s="261"/>
      <c r="E11" s="261"/>
      <c r="F11" s="262"/>
      <c r="G11" s="262"/>
      <c r="H11" s="262"/>
      <c r="I11" s="264"/>
    </row>
    <row r="12" ht="12.75" customHeight="1">
      <c r="A12" s="256"/>
      <c r="B12" s="260"/>
      <c r="C12" s="261">
        <f t="shared" si="1"/>
        <v>0</v>
      </c>
      <c r="D12" s="261"/>
      <c r="E12" s="261"/>
      <c r="F12" s="262"/>
      <c r="G12" s="262"/>
      <c r="H12" s="262"/>
      <c r="I12" s="263"/>
    </row>
    <row r="13" ht="12.75" customHeight="1">
      <c r="A13" s="256"/>
      <c r="B13" s="260"/>
      <c r="C13" s="261">
        <v>0.0</v>
      </c>
      <c r="D13" s="261"/>
      <c r="E13" s="261"/>
      <c r="F13" s="262"/>
      <c r="G13" s="262"/>
      <c r="H13" s="262"/>
      <c r="I13" s="263"/>
    </row>
    <row r="14" ht="12.75" customHeight="1">
      <c r="A14" s="265" t="s">
        <v>26</v>
      </c>
      <c r="B14" s="266"/>
      <c r="C14" s="267">
        <f>SUM(C9:C12)</f>
        <v>0</v>
      </c>
      <c r="D14" s="267"/>
      <c r="E14" s="267">
        <v>0.0</v>
      </c>
      <c r="F14" s="266">
        <f>SUM(F10:F12)</f>
        <v>0</v>
      </c>
      <c r="G14" s="266">
        <v>0.0</v>
      </c>
      <c r="H14" s="265"/>
      <c r="I14" s="265"/>
    </row>
    <row r="15" ht="12.75" customHeight="1">
      <c r="B15" s="268"/>
      <c r="E15" s="269"/>
      <c r="F15" s="268"/>
      <c r="G15" s="268"/>
    </row>
    <row r="16" ht="12.75" customHeight="1">
      <c r="B16" s="268"/>
      <c r="E16" s="269"/>
      <c r="F16" s="268"/>
      <c r="G16" s="268"/>
    </row>
    <row r="17" ht="12.75" customHeight="1">
      <c r="B17" s="268"/>
      <c r="E17" s="269"/>
      <c r="F17" s="268"/>
      <c r="G17" s="268"/>
    </row>
    <row r="18" ht="12.75" customHeight="1">
      <c r="F18" s="268"/>
    </row>
    <row r="19" ht="12.75" customHeight="1">
      <c r="A19" s="194" t="s">
        <v>176</v>
      </c>
    </row>
    <row r="20" ht="12.75" customHeight="1">
      <c r="A20" s="259" t="s">
        <v>177</v>
      </c>
      <c r="B20" s="270">
        <f>'ESTRUCTURA FINANCIERA'!F35</f>
        <v>229500</v>
      </c>
      <c r="C20" s="16"/>
      <c r="D20" s="271" t="s">
        <v>178</v>
      </c>
    </row>
    <row r="21" ht="12.75" customHeight="1">
      <c r="A21" s="259" t="s">
        <v>179</v>
      </c>
      <c r="B21" s="272">
        <v>46023.0</v>
      </c>
      <c r="C21" s="16"/>
      <c r="D21" s="273"/>
      <c r="G21" s="269"/>
    </row>
    <row r="22" ht="12.75" customHeight="1">
      <c r="A22" s="194" t="s">
        <v>180</v>
      </c>
    </row>
    <row r="23" ht="12.75" customHeight="1">
      <c r="A23" s="259" t="s">
        <v>177</v>
      </c>
      <c r="B23" s="270">
        <f>+H9-B20</f>
        <v>-229500</v>
      </c>
      <c r="C23" s="16"/>
      <c r="E23" s="268"/>
      <c r="G23" s="268"/>
    </row>
    <row r="24" ht="12.75" customHeight="1">
      <c r="A24" s="259" t="s">
        <v>179</v>
      </c>
      <c r="B24" s="274"/>
      <c r="C24" s="16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A6:I6"/>
    <mergeCell ref="A7:I7"/>
    <mergeCell ref="B20:C20"/>
    <mergeCell ref="B21:C21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8.25"/>
    <col customWidth="1" min="2" max="2" width="11.38"/>
    <col customWidth="1" min="3" max="3" width="13.0"/>
    <col customWidth="1" min="4" max="14" width="11.38"/>
    <col customWidth="1" min="15" max="26" width="8.0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5"/>
      <c r="B2" s="275" t="s">
        <v>181</v>
      </c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278" t="s">
        <v>182</v>
      </c>
      <c r="B3" s="49">
        <v>1.0</v>
      </c>
      <c r="C3" s="49">
        <v>2.0</v>
      </c>
      <c r="D3" s="49">
        <v>3.0</v>
      </c>
      <c r="E3" s="49">
        <v>4.0</v>
      </c>
      <c r="F3" s="49">
        <v>5.0</v>
      </c>
      <c r="G3" s="49">
        <v>6.0</v>
      </c>
      <c r="H3" s="49">
        <v>7.0</v>
      </c>
      <c r="I3" s="49">
        <v>8.0</v>
      </c>
      <c r="J3" s="49">
        <v>9.0</v>
      </c>
      <c r="K3" s="49">
        <v>10.0</v>
      </c>
      <c r="L3" s="49">
        <v>11.0</v>
      </c>
      <c r="M3" s="49">
        <v>12.0</v>
      </c>
      <c r="N3" s="49" t="s">
        <v>26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279" t="s">
        <v>183</v>
      </c>
      <c r="B4" s="280">
        <f t="shared" ref="B4:N4" si="1">SUM(B5:B7)</f>
        <v>215000</v>
      </c>
      <c r="C4" s="280">
        <f t="shared" si="1"/>
        <v>215000</v>
      </c>
      <c r="D4" s="280">
        <f t="shared" si="1"/>
        <v>215000</v>
      </c>
      <c r="E4" s="280">
        <f t="shared" si="1"/>
        <v>215000</v>
      </c>
      <c r="F4" s="280">
        <f t="shared" si="1"/>
        <v>215000</v>
      </c>
      <c r="G4" s="280">
        <f t="shared" si="1"/>
        <v>215000</v>
      </c>
      <c r="H4" s="280">
        <f t="shared" si="1"/>
        <v>215000</v>
      </c>
      <c r="I4" s="280">
        <f t="shared" si="1"/>
        <v>215000</v>
      </c>
      <c r="J4" s="280">
        <f t="shared" si="1"/>
        <v>215000</v>
      </c>
      <c r="K4" s="280">
        <f t="shared" si="1"/>
        <v>215000</v>
      </c>
      <c r="L4" s="280">
        <f t="shared" si="1"/>
        <v>215000</v>
      </c>
      <c r="M4" s="280">
        <f t="shared" si="1"/>
        <v>215000</v>
      </c>
      <c r="N4" s="280">
        <f t="shared" si="1"/>
        <v>2580000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72" t="s">
        <v>115</v>
      </c>
      <c r="B5" s="28">
        <v>170000.0</v>
      </c>
      <c r="C5" s="28">
        <v>170000.0</v>
      </c>
      <c r="D5" s="28">
        <v>170000.0</v>
      </c>
      <c r="E5" s="28">
        <v>170000.0</v>
      </c>
      <c r="F5" s="28">
        <v>170000.0</v>
      </c>
      <c r="G5" s="28">
        <v>170000.0</v>
      </c>
      <c r="H5" s="28">
        <v>170000.0</v>
      </c>
      <c r="I5" s="28">
        <v>170000.0</v>
      </c>
      <c r="J5" s="28">
        <v>170000.0</v>
      </c>
      <c r="K5" s="28">
        <v>170000.0</v>
      </c>
      <c r="L5" s="28">
        <v>170000.0</v>
      </c>
      <c r="M5" s="28">
        <v>170000.0</v>
      </c>
      <c r="N5" s="281">
        <f t="shared" ref="N5:N8" si="2">SUM(B5:M5)</f>
        <v>2040000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75" t="s">
        <v>117</v>
      </c>
      <c r="B6" s="28">
        <v>35000.0</v>
      </c>
      <c r="C6" s="28">
        <v>35000.0</v>
      </c>
      <c r="D6" s="28">
        <v>35000.0</v>
      </c>
      <c r="E6" s="28">
        <v>35000.0</v>
      </c>
      <c r="F6" s="28">
        <v>35000.0</v>
      </c>
      <c r="G6" s="28">
        <v>35000.0</v>
      </c>
      <c r="H6" s="28">
        <v>35000.0</v>
      </c>
      <c r="I6" s="28">
        <v>35000.0</v>
      </c>
      <c r="J6" s="28">
        <v>35000.0</v>
      </c>
      <c r="K6" s="28">
        <v>35000.0</v>
      </c>
      <c r="L6" s="28">
        <v>35000.0</v>
      </c>
      <c r="M6" s="28">
        <v>35000.0</v>
      </c>
      <c r="N6" s="281">
        <f t="shared" si="2"/>
        <v>420000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72" t="s">
        <v>118</v>
      </c>
      <c r="B7" s="28">
        <v>10000.0</v>
      </c>
      <c r="C7" s="28">
        <v>10000.0</v>
      </c>
      <c r="D7" s="28">
        <v>10000.0</v>
      </c>
      <c r="E7" s="28">
        <v>10000.0</v>
      </c>
      <c r="F7" s="28">
        <v>10000.0</v>
      </c>
      <c r="G7" s="28">
        <v>10000.0</v>
      </c>
      <c r="H7" s="28">
        <v>10000.0</v>
      </c>
      <c r="I7" s="28">
        <v>10000.0</v>
      </c>
      <c r="J7" s="28">
        <v>10000.0</v>
      </c>
      <c r="K7" s="28">
        <v>10000.0</v>
      </c>
      <c r="L7" s="28">
        <v>10000.0</v>
      </c>
      <c r="M7" s="28">
        <v>10000.0</v>
      </c>
      <c r="N7" s="281">
        <f t="shared" si="2"/>
        <v>120000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279" t="s">
        <v>184</v>
      </c>
      <c r="B8" s="282">
        <f t="shared" ref="B8:M8" si="3">SUM(B9:B12)</f>
        <v>0</v>
      </c>
      <c r="C8" s="282">
        <f t="shared" si="3"/>
        <v>0</v>
      </c>
      <c r="D8" s="282">
        <f t="shared" si="3"/>
        <v>0</v>
      </c>
      <c r="E8" s="282">
        <f t="shared" si="3"/>
        <v>0</v>
      </c>
      <c r="F8" s="282">
        <f t="shared" si="3"/>
        <v>0</v>
      </c>
      <c r="G8" s="282">
        <f t="shared" si="3"/>
        <v>0</v>
      </c>
      <c r="H8" s="282">
        <f t="shared" si="3"/>
        <v>0</v>
      </c>
      <c r="I8" s="282">
        <f t="shared" si="3"/>
        <v>0</v>
      </c>
      <c r="J8" s="282">
        <f t="shared" si="3"/>
        <v>0</v>
      </c>
      <c r="K8" s="282">
        <f t="shared" si="3"/>
        <v>0</v>
      </c>
      <c r="L8" s="282">
        <f t="shared" si="3"/>
        <v>0</v>
      </c>
      <c r="M8" s="282">
        <f t="shared" si="3"/>
        <v>0</v>
      </c>
      <c r="N8" s="282">
        <f t="shared" si="2"/>
        <v>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83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83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83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83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84" t="s">
        <v>185</v>
      </c>
      <c r="B13" s="285">
        <f t="shared" ref="B13:N13" si="4">+B8+B4</f>
        <v>215000</v>
      </c>
      <c r="C13" s="285">
        <f t="shared" si="4"/>
        <v>215000</v>
      </c>
      <c r="D13" s="285">
        <f t="shared" si="4"/>
        <v>215000</v>
      </c>
      <c r="E13" s="285">
        <f t="shared" si="4"/>
        <v>215000</v>
      </c>
      <c r="F13" s="285">
        <f t="shared" si="4"/>
        <v>215000</v>
      </c>
      <c r="G13" s="285">
        <f t="shared" si="4"/>
        <v>215000</v>
      </c>
      <c r="H13" s="285">
        <f t="shared" si="4"/>
        <v>215000</v>
      </c>
      <c r="I13" s="285">
        <f t="shared" si="4"/>
        <v>215000</v>
      </c>
      <c r="J13" s="285">
        <f t="shared" si="4"/>
        <v>215000</v>
      </c>
      <c r="K13" s="285">
        <f t="shared" si="4"/>
        <v>215000</v>
      </c>
      <c r="L13" s="285">
        <f t="shared" si="4"/>
        <v>215000</v>
      </c>
      <c r="M13" s="285">
        <f t="shared" si="4"/>
        <v>215000</v>
      </c>
      <c r="N13" s="286">
        <f t="shared" si="4"/>
        <v>2580000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8" t="s">
        <v>182</v>
      </c>
      <c r="B17" s="49" t="s">
        <v>186</v>
      </c>
      <c r="C17" s="49" t="s">
        <v>187</v>
      </c>
      <c r="D17" s="49" t="s">
        <v>188</v>
      </c>
      <c r="E17" s="49" t="s">
        <v>189</v>
      </c>
      <c r="F17" s="49" t="s">
        <v>190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279" t="s">
        <v>183</v>
      </c>
      <c r="B18" s="287">
        <f t="shared" ref="B18:F18" si="5">SUM(B19:B29)</f>
        <v>2580000</v>
      </c>
      <c r="C18" s="287">
        <f t="shared" si="5"/>
        <v>2580000</v>
      </c>
      <c r="D18" s="287">
        <f t="shared" si="5"/>
        <v>2580000</v>
      </c>
      <c r="E18" s="287">
        <f t="shared" si="5"/>
        <v>2580000</v>
      </c>
      <c r="F18" s="287">
        <f t="shared" si="5"/>
        <v>2580000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72" t="s">
        <v>115</v>
      </c>
      <c r="B19" s="288">
        <v>2040000.0</v>
      </c>
      <c r="C19" s="288">
        <v>2040000.0</v>
      </c>
      <c r="D19" s="288">
        <v>2040000.0</v>
      </c>
      <c r="E19" s="288">
        <v>2040000.0</v>
      </c>
      <c r="F19" s="288">
        <v>2040000.0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75" t="s">
        <v>117</v>
      </c>
      <c r="B20" s="288">
        <v>420000.0</v>
      </c>
      <c r="C20" s="288">
        <v>420000.0</v>
      </c>
      <c r="D20" s="288">
        <v>420000.0</v>
      </c>
      <c r="E20" s="288">
        <v>420000.0</v>
      </c>
      <c r="F20" s="288">
        <v>420000.0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72" t="s">
        <v>118</v>
      </c>
      <c r="B21" s="288">
        <v>120000.0</v>
      </c>
      <c r="C21" s="288">
        <v>120000.0</v>
      </c>
      <c r="D21" s="288">
        <v>120000.0</v>
      </c>
      <c r="E21" s="288">
        <v>120000.0</v>
      </c>
      <c r="F21" s="288">
        <v>120000.0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1"/>
      <c r="B22" s="150"/>
      <c r="C22" s="289"/>
      <c r="D22" s="289"/>
      <c r="E22" s="289"/>
      <c r="F22" s="28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71"/>
      <c r="B23" s="150"/>
      <c r="C23" s="289"/>
      <c r="D23" s="289"/>
      <c r="E23" s="289"/>
      <c r="F23" s="289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71"/>
      <c r="B24" s="150"/>
      <c r="C24" s="290"/>
      <c r="D24" s="289"/>
      <c r="E24" s="289"/>
      <c r="F24" s="28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71"/>
      <c r="B25" s="150"/>
      <c r="C25" s="290"/>
      <c r="D25" s="289"/>
      <c r="E25" s="289"/>
      <c r="F25" s="28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71"/>
      <c r="B26" s="150"/>
      <c r="C26" s="289"/>
      <c r="D26" s="289"/>
      <c r="E26" s="289"/>
      <c r="F26" s="28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1"/>
      <c r="B27" s="150"/>
      <c r="C27" s="289"/>
      <c r="D27" s="289"/>
      <c r="E27" s="289"/>
      <c r="F27" s="28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31"/>
      <c r="B28" s="150"/>
      <c r="C28" s="289"/>
      <c r="D28" s="289"/>
      <c r="E28" s="289"/>
      <c r="F28" s="28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71"/>
      <c r="B29" s="150"/>
      <c r="C29" s="289"/>
      <c r="D29" s="289"/>
      <c r="E29" s="289"/>
      <c r="F29" s="289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279" t="s">
        <v>184</v>
      </c>
      <c r="B30" s="291">
        <f t="shared" ref="B30:F30" si="6">SUM(B31:B45)</f>
        <v>0</v>
      </c>
      <c r="C30" s="291">
        <f t="shared" si="6"/>
        <v>0</v>
      </c>
      <c r="D30" s="291">
        <f t="shared" si="6"/>
        <v>0</v>
      </c>
      <c r="E30" s="291">
        <f t="shared" si="6"/>
        <v>0</v>
      </c>
      <c r="F30" s="291">
        <f t="shared" si="6"/>
        <v>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83"/>
      <c r="B31" s="127"/>
      <c r="C31" s="127"/>
      <c r="D31" s="127"/>
      <c r="E31" s="150"/>
      <c r="F31" s="15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283"/>
      <c r="B32" s="127"/>
      <c r="C32" s="127"/>
      <c r="D32" s="127"/>
      <c r="E32" s="150"/>
      <c r="F32" s="150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83"/>
      <c r="B33" s="127"/>
      <c r="C33" s="127"/>
      <c r="D33" s="127"/>
      <c r="E33" s="150"/>
      <c r="F33" s="150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283"/>
      <c r="B34" s="127"/>
      <c r="C34" s="127"/>
      <c r="D34" s="127"/>
      <c r="E34" s="150"/>
      <c r="F34" s="150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83"/>
      <c r="B35" s="127"/>
      <c r="C35" s="127"/>
      <c r="D35" s="127"/>
      <c r="E35" s="150"/>
      <c r="F35" s="150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31"/>
      <c r="B36" s="127"/>
      <c r="C36" s="127"/>
      <c r="D36" s="127"/>
      <c r="E36" s="150"/>
      <c r="F36" s="150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31"/>
      <c r="B37" s="127"/>
      <c r="C37" s="127"/>
      <c r="D37" s="127"/>
      <c r="E37" s="150"/>
      <c r="F37" s="150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1"/>
      <c r="B38" s="127"/>
      <c r="C38" s="127"/>
      <c r="D38" s="127"/>
      <c r="E38" s="150"/>
      <c r="F38" s="150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1"/>
      <c r="B39" s="127"/>
      <c r="C39" s="127"/>
      <c r="D39" s="127"/>
      <c r="E39" s="150"/>
      <c r="F39" s="15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31"/>
      <c r="B40" s="127"/>
      <c r="C40" s="127"/>
      <c r="D40" s="127"/>
      <c r="E40" s="150"/>
      <c r="F40" s="150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31"/>
      <c r="B41" s="127"/>
      <c r="C41" s="127"/>
      <c r="D41" s="127"/>
      <c r="E41" s="150"/>
      <c r="F41" s="150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31"/>
      <c r="B42" s="127"/>
      <c r="C42" s="127"/>
      <c r="D42" s="127"/>
      <c r="E42" s="150"/>
      <c r="F42" s="150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31"/>
      <c r="B43" s="127"/>
      <c r="C43" s="127"/>
      <c r="D43" s="127"/>
      <c r="E43" s="150"/>
      <c r="F43" s="150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31"/>
      <c r="B44" s="127"/>
      <c r="C44" s="127"/>
      <c r="D44" s="127"/>
      <c r="E44" s="150"/>
      <c r="F44" s="150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1"/>
      <c r="B45" s="127"/>
      <c r="C45" s="127"/>
      <c r="D45" s="127"/>
      <c r="E45" s="150"/>
      <c r="F45" s="150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292" t="s">
        <v>185</v>
      </c>
      <c r="B46" s="287">
        <f>SUM(B30+B18)</f>
        <v>2580000</v>
      </c>
      <c r="C46" s="287">
        <f>+C30+C18</f>
        <v>2580000</v>
      </c>
      <c r="D46" s="287">
        <f t="shared" ref="D46:F46" si="7">SUM(D30+D18)</f>
        <v>2580000</v>
      </c>
      <c r="E46" s="287">
        <f t="shared" si="7"/>
        <v>2580000</v>
      </c>
      <c r="F46" s="287">
        <f t="shared" si="7"/>
        <v>2580000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8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80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80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80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80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80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80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80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80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80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80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293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B2:N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38"/>
    <col customWidth="1" min="2" max="2" width="16.0"/>
    <col customWidth="1" min="3" max="3" width="15.75"/>
    <col customWidth="1" min="4" max="4" width="14.25"/>
    <col customWidth="1" min="5" max="5" width="14.13"/>
    <col customWidth="1" min="6" max="6" width="8.0"/>
    <col customWidth="1" min="7" max="7" width="22.25"/>
    <col customWidth="1" min="8" max="26" width="8.0"/>
  </cols>
  <sheetData>
    <row r="1" ht="18.0" customHeight="1">
      <c r="A1" s="2"/>
    </row>
    <row r="2" ht="18.0" customHeight="1">
      <c r="A2" s="2"/>
    </row>
    <row r="3" ht="12.75" customHeight="1"/>
    <row r="4" ht="18.75" customHeight="1">
      <c r="A4" s="294" t="s">
        <v>191</v>
      </c>
    </row>
    <row r="5" ht="15.75" customHeight="1">
      <c r="A5" s="200" t="s">
        <v>60</v>
      </c>
      <c r="B5" s="200" t="s">
        <v>186</v>
      </c>
      <c r="C5" s="200" t="s">
        <v>187</v>
      </c>
      <c r="D5" s="200" t="s">
        <v>188</v>
      </c>
      <c r="E5" s="200" t="s">
        <v>189</v>
      </c>
      <c r="F5" s="200" t="s">
        <v>190</v>
      </c>
      <c r="G5" s="192" t="s">
        <v>192</v>
      </c>
    </row>
    <row r="6" ht="15.75" customHeight="1">
      <c r="A6" s="295" t="s">
        <v>106</v>
      </c>
      <c r="B6" s="296" t="str">
        <f>INGRESOS!N20</f>
        <v/>
      </c>
      <c r="C6" s="238"/>
      <c r="D6" s="238"/>
      <c r="E6" s="238"/>
      <c r="F6" s="238"/>
    </row>
    <row r="7" ht="15.0" customHeight="1">
      <c r="A7" s="297" t="s">
        <v>193</v>
      </c>
      <c r="B7" s="298"/>
      <c r="C7" s="298"/>
      <c r="D7" s="298"/>
      <c r="E7" s="298"/>
      <c r="F7" s="298"/>
    </row>
    <row r="8" ht="15.0" customHeight="1">
      <c r="A8" s="297"/>
      <c r="B8" s="31"/>
      <c r="C8" s="299"/>
      <c r="D8" s="299"/>
      <c r="E8" s="300"/>
      <c r="F8" s="300"/>
    </row>
    <row r="9" ht="15.75" customHeight="1">
      <c r="A9" s="301" t="s">
        <v>194</v>
      </c>
      <c r="B9" s="302"/>
      <c r="C9" s="302"/>
      <c r="D9" s="302"/>
      <c r="E9" s="302"/>
      <c r="F9" s="302"/>
    </row>
    <row r="10" ht="15.0" customHeight="1">
      <c r="A10" s="297" t="s">
        <v>195</v>
      </c>
      <c r="B10" s="33"/>
      <c r="C10" s="288"/>
      <c r="D10" s="288"/>
      <c r="E10" s="288"/>
      <c r="F10" s="288"/>
    </row>
    <row r="11" ht="15.0" customHeight="1">
      <c r="A11" s="297" t="s">
        <v>196</v>
      </c>
      <c r="B11" s="127"/>
      <c r="C11" s="127"/>
      <c r="D11" s="127"/>
      <c r="E11" s="127"/>
      <c r="F11" s="127"/>
    </row>
    <row r="12" ht="15.75" customHeight="1">
      <c r="A12" s="297"/>
      <c r="B12" s="303"/>
      <c r="C12" s="304"/>
      <c r="D12" s="299"/>
      <c r="E12" s="300"/>
      <c r="F12" s="300"/>
    </row>
    <row r="13" ht="15.75" customHeight="1">
      <c r="A13" s="301" t="s">
        <v>197</v>
      </c>
      <c r="B13" s="302"/>
      <c r="C13" s="302"/>
      <c r="D13" s="302"/>
      <c r="E13" s="302"/>
      <c r="F13" s="302"/>
    </row>
    <row r="14" ht="15.0" customHeight="1">
      <c r="A14" s="297"/>
      <c r="B14" s="33"/>
      <c r="C14" s="33"/>
      <c r="D14" s="33"/>
      <c r="E14" s="33"/>
      <c r="F14" s="33"/>
    </row>
    <row r="15" ht="15.0" customHeight="1">
      <c r="A15" s="297" t="s">
        <v>198</v>
      </c>
      <c r="B15" s="33"/>
      <c r="C15" s="33"/>
      <c r="D15" s="33"/>
      <c r="E15" s="33"/>
      <c r="F15" s="33"/>
    </row>
    <row r="16" ht="15.0" customHeight="1">
      <c r="A16" s="297" t="s">
        <v>171</v>
      </c>
      <c r="B16" s="33"/>
      <c r="C16" s="33"/>
      <c r="D16" s="33"/>
      <c r="E16" s="33"/>
      <c r="F16" s="33"/>
    </row>
    <row r="17" ht="15.75" customHeight="1">
      <c r="A17" s="301" t="s">
        <v>199</v>
      </c>
      <c r="B17" s="305"/>
      <c r="C17" s="305"/>
      <c r="D17" s="305"/>
      <c r="E17" s="305"/>
      <c r="F17" s="305"/>
    </row>
    <row r="18" ht="15.0" customHeight="1">
      <c r="A18" s="297"/>
      <c r="B18" s="31"/>
      <c r="C18" s="299"/>
      <c r="D18" s="299"/>
      <c r="E18" s="300"/>
      <c r="F18" s="300"/>
    </row>
    <row r="19" ht="15.75" customHeight="1">
      <c r="A19" s="306" t="s">
        <v>200</v>
      </c>
      <c r="B19" s="307"/>
      <c r="C19" s="307"/>
      <c r="D19" s="307"/>
      <c r="E19" s="307"/>
      <c r="F19" s="307"/>
    </row>
    <row r="20" ht="15.0" customHeight="1">
      <c r="A20" s="297" t="s">
        <v>201</v>
      </c>
      <c r="B20" s="308"/>
      <c r="C20" s="288"/>
      <c r="D20" s="308"/>
      <c r="E20" s="308"/>
      <c r="F20" s="308"/>
    </row>
    <row r="21" ht="15.0" customHeight="1">
      <c r="A21" s="5"/>
      <c r="B21" s="33"/>
      <c r="C21" s="308"/>
      <c r="D21" s="33"/>
      <c r="E21" s="33"/>
      <c r="F21" s="33"/>
    </row>
    <row r="22" ht="15.75" customHeight="1">
      <c r="A22" s="5"/>
      <c r="B22" s="33"/>
      <c r="C22" s="309"/>
      <c r="D22" s="33"/>
      <c r="E22" s="33"/>
      <c r="F22" s="33"/>
    </row>
    <row r="23" ht="15.0" customHeight="1">
      <c r="A23" s="5"/>
      <c r="B23" s="33"/>
      <c r="C23" s="33"/>
      <c r="D23" s="33"/>
      <c r="E23" s="33"/>
      <c r="F23" s="33"/>
    </row>
    <row r="24" ht="15.75" customHeight="1">
      <c r="A24" s="146" t="s">
        <v>202</v>
      </c>
      <c r="B24" s="113">
        <f t="shared" ref="B24:F24" si="1">+B17/30</f>
        <v>0</v>
      </c>
      <c r="C24" s="113">
        <f t="shared" si="1"/>
        <v>0</v>
      </c>
      <c r="D24" s="113">
        <f t="shared" si="1"/>
        <v>0</v>
      </c>
      <c r="E24" s="113">
        <f t="shared" si="1"/>
        <v>0</v>
      </c>
      <c r="F24" s="113">
        <f t="shared" si="1"/>
        <v>0</v>
      </c>
    </row>
    <row r="25" ht="12.75" customHeight="1">
      <c r="C25" s="310"/>
    </row>
    <row r="26" ht="15.0" customHeight="1">
      <c r="A26" s="311"/>
      <c r="C26" s="310"/>
    </row>
    <row r="27" ht="15.75" customHeight="1">
      <c r="A27" s="312" t="s">
        <v>203</v>
      </c>
      <c r="B27" s="276"/>
      <c r="C27" s="276"/>
      <c r="D27" s="277"/>
    </row>
    <row r="28" ht="12.75" customHeight="1">
      <c r="C28" s="313"/>
    </row>
    <row r="29" ht="15.0" customHeight="1">
      <c r="A29" s="311"/>
      <c r="B29" s="311"/>
      <c r="C29" s="314"/>
    </row>
    <row r="30" ht="12.75" customHeight="1">
      <c r="C30" s="310"/>
    </row>
    <row r="31" ht="15.0" customHeight="1">
      <c r="A31" s="311"/>
      <c r="C31" s="310"/>
    </row>
    <row r="32" ht="12.75" customHeight="1">
      <c r="C32" s="315"/>
    </row>
    <row r="33" ht="15.0" customHeight="1">
      <c r="A33" s="316"/>
      <c r="C33" s="313"/>
    </row>
    <row r="34" ht="15.0" customHeight="1">
      <c r="A34" s="311"/>
      <c r="B34" s="311"/>
      <c r="C34" s="314"/>
    </row>
    <row r="35" ht="15.0" customHeight="1">
      <c r="A35" s="311"/>
      <c r="B35" s="311"/>
      <c r="C35" s="314"/>
    </row>
    <row r="36" ht="15.0" customHeight="1">
      <c r="A36" s="311"/>
      <c r="B36" s="311"/>
      <c r="C36" s="314"/>
    </row>
    <row r="37" ht="12.75" customHeight="1">
      <c r="C37" s="310"/>
      <c r="G37" s="50"/>
    </row>
    <row r="38" ht="15.0" customHeight="1">
      <c r="A38" s="311"/>
      <c r="C38" s="310"/>
    </row>
    <row r="39" ht="12.75" customHeight="1">
      <c r="C39" s="315"/>
    </row>
    <row r="40" ht="15.0" customHeight="1">
      <c r="A40" s="316"/>
      <c r="C40" s="313"/>
    </row>
    <row r="41" ht="15.0" customHeight="1">
      <c r="A41" s="311"/>
      <c r="C41" s="314"/>
    </row>
    <row r="42" ht="12.75" customHeight="1">
      <c r="C42" s="310"/>
    </row>
    <row r="43" ht="15.0" customHeight="1">
      <c r="A43" s="311"/>
      <c r="C43" s="310"/>
    </row>
    <row r="44" ht="12.75" customHeight="1">
      <c r="C44" s="315"/>
    </row>
    <row r="45" ht="12.75" customHeight="1">
      <c r="C45" s="313"/>
    </row>
    <row r="46" ht="15.0" customHeight="1">
      <c r="A46" s="311"/>
      <c r="C46" s="314"/>
    </row>
    <row r="47" ht="12.75" customHeight="1">
      <c r="C47" s="310"/>
      <c r="D47" s="317"/>
    </row>
    <row r="48" ht="15.0" customHeight="1">
      <c r="A48" s="311"/>
      <c r="C48" s="310"/>
    </row>
    <row r="49" ht="12.75" customHeight="1">
      <c r="C49" s="315"/>
    </row>
    <row r="50" ht="12.75" customHeight="1">
      <c r="C50" s="313"/>
    </row>
    <row r="51" ht="15.0" customHeight="1">
      <c r="C51" s="314"/>
    </row>
    <row r="52" ht="15.0" customHeight="1">
      <c r="C52" s="314"/>
    </row>
    <row r="53" ht="15.0" customHeight="1">
      <c r="C53" s="314"/>
    </row>
    <row r="54" ht="12.75" customHeight="1">
      <c r="C54" s="310"/>
    </row>
    <row r="55" ht="15.0" customHeight="1">
      <c r="A55" s="311"/>
      <c r="C55" s="310"/>
    </row>
    <row r="56" ht="12.75" customHeight="1">
      <c r="C56" s="313"/>
    </row>
    <row r="57" ht="12.75" customHeight="1">
      <c r="C57" s="313"/>
    </row>
    <row r="58" ht="15.0" customHeight="1">
      <c r="A58" s="311"/>
      <c r="C58" s="314"/>
      <c r="D58" s="318"/>
      <c r="E58" s="318"/>
    </row>
    <row r="59" ht="12.75" customHeight="1">
      <c r="C59" s="310"/>
      <c r="D59" s="317"/>
    </row>
    <row r="60" ht="15.0" customHeight="1">
      <c r="A60" s="311"/>
      <c r="C60" s="310"/>
    </row>
    <row r="61" ht="15.0" customHeight="1">
      <c r="C61" s="319"/>
    </row>
    <row r="62" ht="15.0" customHeight="1">
      <c r="A62" s="316"/>
      <c r="C62" s="315"/>
    </row>
    <row r="63" ht="15.0" customHeight="1">
      <c r="A63" s="311"/>
      <c r="C63" s="314"/>
      <c r="D63" s="318"/>
      <c r="E63" s="318"/>
    </row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27:D2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21.38"/>
    <col customWidth="1" min="3" max="3" width="13.25"/>
    <col customWidth="1" min="4" max="4" width="14.75"/>
    <col customWidth="1" min="5" max="5" width="14.25"/>
    <col customWidth="1" min="6" max="6" width="13.38"/>
    <col customWidth="1" min="7" max="7" width="12.63"/>
    <col customWidth="1" min="8" max="8" width="14.38"/>
    <col customWidth="1" min="9" max="9" width="16.63"/>
    <col customWidth="1" min="10" max="10" width="13.75"/>
    <col customWidth="1" min="11" max="26" width="8.0"/>
  </cols>
  <sheetData>
    <row r="1" ht="20.25" customHeight="1">
      <c r="A1" s="320" t="s">
        <v>204</v>
      </c>
    </row>
    <row r="2" ht="18.0" customHeight="1">
      <c r="A2" s="157"/>
    </row>
    <row r="3" ht="18.0" customHeight="1">
      <c r="A3" s="2" t="s">
        <v>164</v>
      </c>
      <c r="B3" s="7"/>
      <c r="C3" s="7"/>
      <c r="D3" s="7"/>
      <c r="E3" s="7"/>
      <c r="F3" s="321"/>
    </row>
    <row r="4" ht="18.0" customHeight="1">
      <c r="A4" s="2" t="s">
        <v>165</v>
      </c>
      <c r="B4" s="7"/>
      <c r="C4" s="7"/>
      <c r="D4" s="7"/>
      <c r="E4" s="7"/>
      <c r="F4" s="321"/>
    </row>
    <row r="5" ht="18.0" customHeight="1">
      <c r="A5" s="2" t="s">
        <v>166</v>
      </c>
      <c r="B5" s="7"/>
      <c r="C5" s="8"/>
      <c r="D5" s="8"/>
      <c r="E5" s="7"/>
      <c r="F5" s="273"/>
    </row>
    <row r="6" ht="18.0" customHeight="1">
      <c r="A6" s="322" t="s">
        <v>205</v>
      </c>
      <c r="B6" s="85"/>
      <c r="C6" s="85"/>
      <c r="D6" s="85"/>
      <c r="E6" s="85"/>
      <c r="F6" s="85"/>
      <c r="G6" s="85"/>
      <c r="H6" s="85"/>
      <c r="I6" s="85"/>
      <c r="J6" s="16"/>
    </row>
    <row r="7" ht="15.75" customHeight="1">
      <c r="A7" s="33"/>
      <c r="B7" s="33"/>
      <c r="C7" s="323" t="s">
        <v>206</v>
      </c>
      <c r="D7" s="85"/>
      <c r="E7" s="85"/>
      <c r="F7" s="16"/>
      <c r="G7" s="324" t="s">
        <v>207</v>
      </c>
      <c r="H7" s="85"/>
      <c r="I7" s="85"/>
      <c r="J7" s="16"/>
    </row>
    <row r="8" ht="15.75" customHeight="1">
      <c r="A8" s="113" t="s">
        <v>60</v>
      </c>
      <c r="B8" s="49" t="s">
        <v>208</v>
      </c>
      <c r="C8" s="325">
        <v>0.05</v>
      </c>
      <c r="D8" s="326">
        <v>0.1</v>
      </c>
      <c r="E8" s="326">
        <v>0.15</v>
      </c>
      <c r="F8" s="326">
        <v>0.2</v>
      </c>
      <c r="G8" s="327">
        <v>0.05</v>
      </c>
      <c r="H8" s="327">
        <v>0.1</v>
      </c>
      <c r="I8" s="327">
        <v>0.15</v>
      </c>
      <c r="J8" s="327">
        <v>0.2</v>
      </c>
    </row>
    <row r="9" ht="15.0" customHeight="1">
      <c r="A9" s="33" t="s">
        <v>193</v>
      </c>
      <c r="B9" s="328"/>
      <c r="C9" s="329"/>
      <c r="D9" s="329"/>
      <c r="E9" s="329"/>
      <c r="F9" s="329"/>
      <c r="G9" s="328"/>
      <c r="H9" s="328"/>
      <c r="I9" s="328"/>
      <c r="J9" s="328"/>
    </row>
    <row r="10" ht="15.0" customHeight="1">
      <c r="A10" s="33" t="s">
        <v>209</v>
      </c>
      <c r="B10" s="328"/>
      <c r="C10" s="329"/>
      <c r="D10" s="329"/>
      <c r="E10" s="329"/>
      <c r="F10" s="329"/>
      <c r="G10" s="328"/>
      <c r="H10" s="328"/>
      <c r="I10" s="328"/>
      <c r="J10" s="328"/>
    </row>
    <row r="11" ht="15.75" customHeight="1">
      <c r="A11" s="33" t="s">
        <v>26</v>
      </c>
      <c r="B11" s="330">
        <f>SUM(B9-B10)</f>
        <v>0</v>
      </c>
      <c r="C11" s="331">
        <f t="shared" ref="C11:J11" si="1">C9-C10</f>
        <v>0</v>
      </c>
      <c r="D11" s="331">
        <f t="shared" si="1"/>
        <v>0</v>
      </c>
      <c r="E11" s="331">
        <f t="shared" si="1"/>
        <v>0</v>
      </c>
      <c r="F11" s="331">
        <f t="shared" si="1"/>
        <v>0</v>
      </c>
      <c r="G11" s="332">
        <f t="shared" si="1"/>
        <v>0</v>
      </c>
      <c r="H11" s="332">
        <f t="shared" si="1"/>
        <v>0</v>
      </c>
      <c r="I11" s="332">
        <f t="shared" si="1"/>
        <v>0</v>
      </c>
      <c r="J11" s="332">
        <f t="shared" si="1"/>
        <v>0</v>
      </c>
    </row>
    <row r="12" ht="15.0" customHeight="1">
      <c r="A12" s="283"/>
      <c r="B12" s="333"/>
      <c r="C12" s="333"/>
      <c r="D12" s="333"/>
      <c r="E12" s="333"/>
      <c r="F12" s="333"/>
      <c r="G12" s="333"/>
      <c r="H12" s="333"/>
      <c r="I12" s="333"/>
      <c r="J12" s="334"/>
    </row>
    <row r="13" ht="15.75" customHeight="1">
      <c r="A13" s="63" t="s">
        <v>210</v>
      </c>
      <c r="B13" s="335" t="str">
        <f t="shared" ref="B13:J13" si="2">+B9/B10</f>
        <v>#DIV/0!</v>
      </c>
      <c r="C13" s="335" t="str">
        <f t="shared" si="2"/>
        <v>#DIV/0!</v>
      </c>
      <c r="D13" s="335" t="str">
        <f t="shared" si="2"/>
        <v>#DIV/0!</v>
      </c>
      <c r="E13" s="335" t="str">
        <f t="shared" si="2"/>
        <v>#DIV/0!</v>
      </c>
      <c r="F13" s="335" t="str">
        <f t="shared" si="2"/>
        <v>#DIV/0!</v>
      </c>
      <c r="G13" s="335" t="str">
        <f t="shared" si="2"/>
        <v>#DIV/0!</v>
      </c>
      <c r="H13" s="335" t="str">
        <f t="shared" si="2"/>
        <v>#DIV/0!</v>
      </c>
      <c r="I13" s="335" t="str">
        <f t="shared" si="2"/>
        <v>#DIV/0!</v>
      </c>
      <c r="J13" s="336" t="str">
        <f t="shared" si="2"/>
        <v>#DIV/0!</v>
      </c>
    </row>
    <row r="14" ht="15.75" customHeight="1">
      <c r="A14" s="41"/>
      <c r="B14" s="337"/>
      <c r="C14" s="337"/>
      <c r="D14" s="337"/>
      <c r="E14" s="337"/>
      <c r="F14" s="337"/>
      <c r="G14" s="299"/>
      <c r="H14" s="299"/>
      <c r="I14" s="299"/>
      <c r="J14" s="300"/>
    </row>
    <row r="15" ht="18.0" customHeight="1">
      <c r="A15" s="322" t="s">
        <v>211</v>
      </c>
      <c r="B15" s="85"/>
      <c r="C15" s="85"/>
      <c r="D15" s="85"/>
      <c r="E15" s="85"/>
      <c r="F15" s="85"/>
      <c r="G15" s="85"/>
      <c r="H15" s="85"/>
      <c r="I15" s="85"/>
      <c r="J15" s="16"/>
    </row>
    <row r="16" ht="15.75" customHeight="1">
      <c r="A16" s="33"/>
      <c r="B16" s="33"/>
      <c r="C16" s="323" t="s">
        <v>206</v>
      </c>
      <c r="D16" s="85"/>
      <c r="E16" s="85"/>
      <c r="F16" s="16"/>
      <c r="G16" s="324" t="s">
        <v>207</v>
      </c>
      <c r="H16" s="85"/>
      <c r="I16" s="85"/>
      <c r="J16" s="16"/>
    </row>
    <row r="17" ht="15.75" customHeight="1">
      <c r="A17" s="113" t="s">
        <v>60</v>
      </c>
      <c r="B17" s="49" t="s">
        <v>208</v>
      </c>
      <c r="C17" s="325">
        <v>0.05</v>
      </c>
      <c r="D17" s="326">
        <v>0.1</v>
      </c>
      <c r="E17" s="326">
        <v>0.15</v>
      </c>
      <c r="F17" s="326">
        <v>0.2</v>
      </c>
      <c r="G17" s="327">
        <v>0.05</v>
      </c>
      <c r="H17" s="327">
        <v>0.1</v>
      </c>
      <c r="I17" s="327">
        <v>0.15</v>
      </c>
      <c r="J17" s="327">
        <v>0.2</v>
      </c>
    </row>
    <row r="18" ht="15.0" customHeight="1">
      <c r="A18" s="33" t="s">
        <v>193</v>
      </c>
      <c r="B18" s="328"/>
      <c r="C18" s="329"/>
      <c r="D18" s="329"/>
      <c r="E18" s="329"/>
      <c r="F18" s="329"/>
      <c r="G18" s="328"/>
      <c r="H18" s="328"/>
      <c r="I18" s="328"/>
      <c r="J18" s="328"/>
    </row>
    <row r="19" ht="15.0" customHeight="1">
      <c r="A19" s="33" t="s">
        <v>209</v>
      </c>
      <c r="B19" s="328"/>
      <c r="C19" s="329"/>
      <c r="D19" s="329"/>
      <c r="E19" s="329"/>
      <c r="F19" s="329"/>
      <c r="G19" s="328"/>
      <c r="H19" s="328"/>
      <c r="I19" s="328"/>
      <c r="J19" s="328"/>
    </row>
    <row r="20" ht="15.75" customHeight="1">
      <c r="A20" s="33" t="s">
        <v>26</v>
      </c>
      <c r="B20" s="330">
        <f>SUM(B18-B19)</f>
        <v>0</v>
      </c>
      <c r="C20" s="331">
        <f t="shared" ref="C20:J20" si="3">C18-C19</f>
        <v>0</v>
      </c>
      <c r="D20" s="331">
        <f t="shared" si="3"/>
        <v>0</v>
      </c>
      <c r="E20" s="331">
        <f t="shared" si="3"/>
        <v>0</v>
      </c>
      <c r="F20" s="331">
        <f t="shared" si="3"/>
        <v>0</v>
      </c>
      <c r="G20" s="332">
        <f t="shared" si="3"/>
        <v>0</v>
      </c>
      <c r="H20" s="332">
        <f t="shared" si="3"/>
        <v>0</v>
      </c>
      <c r="I20" s="332">
        <f t="shared" si="3"/>
        <v>0</v>
      </c>
      <c r="J20" s="332">
        <f t="shared" si="3"/>
        <v>0</v>
      </c>
    </row>
    <row r="21" ht="15.0" customHeight="1">
      <c r="A21" s="283"/>
      <c r="B21" s="333"/>
      <c r="C21" s="333"/>
      <c r="D21" s="333"/>
      <c r="E21" s="333"/>
      <c r="F21" s="333"/>
      <c r="G21" s="333"/>
      <c r="H21" s="333"/>
      <c r="I21" s="333"/>
      <c r="J21" s="334"/>
    </row>
    <row r="22" ht="15.75" customHeight="1">
      <c r="A22" s="63" t="s">
        <v>210</v>
      </c>
      <c r="B22" s="335" t="str">
        <f t="shared" ref="B22:J22" si="4">+B18/B19</f>
        <v>#DIV/0!</v>
      </c>
      <c r="C22" s="335" t="str">
        <f t="shared" si="4"/>
        <v>#DIV/0!</v>
      </c>
      <c r="D22" s="335" t="str">
        <f t="shared" si="4"/>
        <v>#DIV/0!</v>
      </c>
      <c r="E22" s="335" t="str">
        <f t="shared" si="4"/>
        <v>#DIV/0!</v>
      </c>
      <c r="F22" s="335" t="str">
        <f t="shared" si="4"/>
        <v>#DIV/0!</v>
      </c>
      <c r="G22" s="335" t="str">
        <f t="shared" si="4"/>
        <v>#DIV/0!</v>
      </c>
      <c r="H22" s="335" t="str">
        <f t="shared" si="4"/>
        <v>#DIV/0!</v>
      </c>
      <c r="I22" s="335" t="str">
        <f t="shared" si="4"/>
        <v>#DIV/0!</v>
      </c>
      <c r="J22" s="336" t="str">
        <f t="shared" si="4"/>
        <v>#DIV/0!</v>
      </c>
    </row>
    <row r="23" ht="15.75" customHeight="1">
      <c r="A23" s="7"/>
      <c r="B23" s="5"/>
      <c r="C23" s="5"/>
      <c r="D23" s="5"/>
      <c r="E23" s="5"/>
      <c r="F23" s="5"/>
      <c r="G23" s="5"/>
      <c r="H23" s="5"/>
      <c r="I23" s="5"/>
      <c r="J23" s="5"/>
    </row>
    <row r="24" ht="15.75" customHeight="1">
      <c r="A24" s="7"/>
      <c r="B24" s="5"/>
      <c r="C24" s="5"/>
      <c r="D24" s="5"/>
      <c r="E24" s="5"/>
      <c r="F24" s="5"/>
      <c r="G24" s="5"/>
      <c r="H24" s="5"/>
      <c r="I24" s="5"/>
      <c r="J24" s="5"/>
    </row>
    <row r="25" ht="18.0" customHeight="1">
      <c r="A25" s="338" t="s">
        <v>212</v>
      </c>
      <c r="B25" s="85"/>
      <c r="C25" s="85"/>
      <c r="D25" s="85"/>
      <c r="E25" s="85"/>
      <c r="F25" s="85"/>
      <c r="G25" s="85"/>
      <c r="H25" s="85"/>
      <c r="I25" s="85"/>
      <c r="J25" s="16"/>
    </row>
    <row r="26" ht="15.75" customHeight="1">
      <c r="A26" s="33"/>
      <c r="B26" s="33"/>
      <c r="C26" s="323" t="s">
        <v>206</v>
      </c>
      <c r="D26" s="85"/>
      <c r="E26" s="85"/>
      <c r="F26" s="16"/>
      <c r="G26" s="324" t="s">
        <v>207</v>
      </c>
      <c r="H26" s="85"/>
      <c r="I26" s="85"/>
      <c r="J26" s="16"/>
    </row>
    <row r="27" ht="15.75" customHeight="1">
      <c r="A27" s="113" t="s">
        <v>60</v>
      </c>
      <c r="B27" s="49" t="s">
        <v>208</v>
      </c>
      <c r="C27" s="325">
        <v>0.05</v>
      </c>
      <c r="D27" s="326">
        <v>0.1</v>
      </c>
      <c r="E27" s="326">
        <v>0.15</v>
      </c>
      <c r="F27" s="326">
        <v>0.2</v>
      </c>
      <c r="G27" s="327">
        <v>0.05</v>
      </c>
      <c r="H27" s="327">
        <v>0.1</v>
      </c>
      <c r="I27" s="327">
        <v>0.15</v>
      </c>
      <c r="J27" s="327">
        <v>0.2</v>
      </c>
    </row>
    <row r="28" ht="15.0" customHeight="1">
      <c r="A28" s="33" t="s">
        <v>193</v>
      </c>
      <c r="B28" s="328"/>
      <c r="C28" s="329"/>
      <c r="D28" s="329"/>
      <c r="E28" s="329"/>
      <c r="F28" s="329"/>
      <c r="G28" s="328"/>
      <c r="H28" s="328"/>
      <c r="I28" s="328"/>
      <c r="J28" s="328"/>
    </row>
    <row r="29" ht="15.0" customHeight="1">
      <c r="A29" s="33" t="s">
        <v>209</v>
      </c>
      <c r="B29" s="328"/>
      <c r="C29" s="329"/>
      <c r="D29" s="329"/>
      <c r="E29" s="329"/>
      <c r="F29" s="329"/>
      <c r="G29" s="328"/>
      <c r="H29" s="328"/>
      <c r="I29" s="328"/>
      <c r="J29" s="328"/>
    </row>
    <row r="30" ht="15.75" customHeight="1">
      <c r="A30" s="33" t="s">
        <v>26</v>
      </c>
      <c r="B30" s="330">
        <f>SUM(B28-B29)</f>
        <v>0</v>
      </c>
      <c r="C30" s="331">
        <f t="shared" ref="C30:J30" si="5">C28-C29</f>
        <v>0</v>
      </c>
      <c r="D30" s="331">
        <f t="shared" si="5"/>
        <v>0</v>
      </c>
      <c r="E30" s="331">
        <f t="shared" si="5"/>
        <v>0</v>
      </c>
      <c r="F30" s="331">
        <f t="shared" si="5"/>
        <v>0</v>
      </c>
      <c r="G30" s="332">
        <f t="shared" si="5"/>
        <v>0</v>
      </c>
      <c r="H30" s="332">
        <f t="shared" si="5"/>
        <v>0</v>
      </c>
      <c r="I30" s="332">
        <f t="shared" si="5"/>
        <v>0</v>
      </c>
      <c r="J30" s="332">
        <f t="shared" si="5"/>
        <v>0</v>
      </c>
    </row>
    <row r="31" ht="15.0" customHeight="1">
      <c r="A31" s="283"/>
      <c r="B31" s="333"/>
      <c r="C31" s="333"/>
      <c r="D31" s="333"/>
      <c r="E31" s="333"/>
      <c r="F31" s="333"/>
      <c r="G31" s="333"/>
      <c r="H31" s="333"/>
      <c r="I31" s="333"/>
      <c r="J31" s="334"/>
    </row>
    <row r="32" ht="15.75" customHeight="1">
      <c r="A32" s="63" t="s">
        <v>210</v>
      </c>
      <c r="B32" s="335" t="str">
        <f t="shared" ref="B32:J32" si="6">+B28/B29</f>
        <v>#DIV/0!</v>
      </c>
      <c r="C32" s="335" t="str">
        <f t="shared" si="6"/>
        <v>#DIV/0!</v>
      </c>
      <c r="D32" s="335" t="str">
        <f t="shared" si="6"/>
        <v>#DIV/0!</v>
      </c>
      <c r="E32" s="335" t="str">
        <f t="shared" si="6"/>
        <v>#DIV/0!</v>
      </c>
      <c r="F32" s="335" t="str">
        <f t="shared" si="6"/>
        <v>#DIV/0!</v>
      </c>
      <c r="G32" s="335" t="str">
        <f t="shared" si="6"/>
        <v>#DIV/0!</v>
      </c>
      <c r="H32" s="335" t="str">
        <f t="shared" si="6"/>
        <v>#DIV/0!</v>
      </c>
      <c r="I32" s="335" t="str">
        <f t="shared" si="6"/>
        <v>#DIV/0!</v>
      </c>
      <c r="J32" s="336" t="str">
        <f t="shared" si="6"/>
        <v>#DIV/0!</v>
      </c>
    </row>
    <row r="33" ht="15.75" customHeight="1">
      <c r="A33" s="41"/>
      <c r="B33" s="337"/>
      <c r="C33" s="337"/>
      <c r="D33" s="337"/>
      <c r="E33" s="337"/>
      <c r="F33" s="337"/>
      <c r="G33" s="299"/>
      <c r="H33" s="299"/>
      <c r="I33" s="299"/>
      <c r="J33" s="300"/>
    </row>
    <row r="34" ht="15.0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ht="15.75" customHeight="1">
      <c r="A35" s="7"/>
      <c r="B35" s="5"/>
      <c r="C35" s="5"/>
      <c r="D35" s="5"/>
      <c r="E35" s="5"/>
      <c r="F35" s="5"/>
      <c r="G35" s="5"/>
      <c r="H35" s="5"/>
      <c r="I35" s="5"/>
      <c r="J35" s="5"/>
    </row>
    <row r="36" ht="18.0" customHeight="1">
      <c r="A36" s="338" t="s">
        <v>213</v>
      </c>
      <c r="B36" s="85"/>
      <c r="C36" s="85"/>
      <c r="D36" s="85"/>
      <c r="E36" s="85"/>
      <c r="F36" s="85"/>
      <c r="G36" s="85"/>
      <c r="H36" s="85"/>
      <c r="I36" s="85"/>
      <c r="J36" s="16"/>
    </row>
    <row r="37" ht="15.75" customHeight="1">
      <c r="A37" s="33"/>
      <c r="B37" s="33"/>
      <c r="C37" s="323" t="s">
        <v>206</v>
      </c>
      <c r="D37" s="85"/>
      <c r="E37" s="85"/>
      <c r="F37" s="16"/>
      <c r="G37" s="324" t="s">
        <v>207</v>
      </c>
      <c r="H37" s="85"/>
      <c r="I37" s="85"/>
      <c r="J37" s="16"/>
    </row>
    <row r="38" ht="15.75" customHeight="1">
      <c r="A38" s="113" t="s">
        <v>60</v>
      </c>
      <c r="B38" s="49" t="s">
        <v>208</v>
      </c>
      <c r="C38" s="325">
        <v>0.05</v>
      </c>
      <c r="D38" s="326">
        <v>0.1</v>
      </c>
      <c r="E38" s="326">
        <v>0.15</v>
      </c>
      <c r="F38" s="326">
        <v>0.2</v>
      </c>
      <c r="G38" s="327">
        <v>0.05</v>
      </c>
      <c r="H38" s="327">
        <v>0.1</v>
      </c>
      <c r="I38" s="327">
        <v>0.15</v>
      </c>
      <c r="J38" s="327">
        <v>0.2</v>
      </c>
    </row>
    <row r="39" ht="15.0" customHeight="1">
      <c r="A39" s="33" t="s">
        <v>193</v>
      </c>
      <c r="B39" s="328"/>
      <c r="C39" s="329"/>
      <c r="D39" s="329"/>
      <c r="E39" s="329"/>
      <c r="F39" s="329"/>
      <c r="G39" s="328"/>
      <c r="H39" s="328"/>
      <c r="I39" s="328"/>
      <c r="J39" s="328"/>
    </row>
    <row r="40" ht="15.0" customHeight="1">
      <c r="A40" s="33" t="s">
        <v>209</v>
      </c>
      <c r="B40" s="328"/>
      <c r="C40" s="329"/>
      <c r="D40" s="329"/>
      <c r="E40" s="329"/>
      <c r="F40" s="329"/>
      <c r="G40" s="328"/>
      <c r="H40" s="328"/>
      <c r="I40" s="328"/>
      <c r="J40" s="328"/>
    </row>
    <row r="41" ht="15.75" customHeight="1">
      <c r="A41" s="33" t="s">
        <v>26</v>
      </c>
      <c r="B41" s="330"/>
      <c r="C41" s="331"/>
      <c r="D41" s="331"/>
      <c r="E41" s="331"/>
      <c r="F41" s="331"/>
      <c r="G41" s="332"/>
      <c r="H41" s="332"/>
      <c r="I41" s="332"/>
      <c r="J41" s="332"/>
    </row>
    <row r="42" ht="15.0" customHeight="1">
      <c r="A42" s="283"/>
      <c r="B42" s="333"/>
      <c r="C42" s="333"/>
      <c r="D42" s="333"/>
      <c r="E42" s="333"/>
      <c r="F42" s="333"/>
      <c r="G42" s="333"/>
      <c r="H42" s="333"/>
      <c r="I42" s="333"/>
      <c r="J42" s="334"/>
    </row>
    <row r="43" ht="15.75" customHeight="1">
      <c r="A43" s="63" t="s">
        <v>210</v>
      </c>
      <c r="B43" s="335" t="str">
        <f t="shared" ref="B43:J43" si="7">+B39/B40</f>
        <v>#DIV/0!</v>
      </c>
      <c r="C43" s="335" t="str">
        <f t="shared" si="7"/>
        <v>#DIV/0!</v>
      </c>
      <c r="D43" s="335" t="str">
        <f t="shared" si="7"/>
        <v>#DIV/0!</v>
      </c>
      <c r="E43" s="335" t="str">
        <f t="shared" si="7"/>
        <v>#DIV/0!</v>
      </c>
      <c r="F43" s="335" t="str">
        <f t="shared" si="7"/>
        <v>#DIV/0!</v>
      </c>
      <c r="G43" s="335" t="str">
        <f t="shared" si="7"/>
        <v>#DIV/0!</v>
      </c>
      <c r="H43" s="335" t="str">
        <f t="shared" si="7"/>
        <v>#DIV/0!</v>
      </c>
      <c r="I43" s="335" t="str">
        <f t="shared" si="7"/>
        <v>#DIV/0!</v>
      </c>
      <c r="J43" s="336" t="str">
        <f t="shared" si="7"/>
        <v>#DIV/0!</v>
      </c>
    </row>
    <row r="44" ht="15.75" customHeight="1">
      <c r="A44" s="41"/>
      <c r="B44" s="337"/>
      <c r="C44" s="337"/>
      <c r="D44" s="337"/>
      <c r="E44" s="337"/>
      <c r="F44" s="337"/>
      <c r="G44" s="299"/>
      <c r="H44" s="299"/>
      <c r="I44" s="299"/>
      <c r="J44" s="300"/>
    </row>
    <row r="45" ht="15.0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ht="15.0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ht="18.0" customHeight="1">
      <c r="A47" s="338" t="s">
        <v>214</v>
      </c>
      <c r="B47" s="85"/>
      <c r="C47" s="85"/>
      <c r="D47" s="85"/>
      <c r="E47" s="85"/>
      <c r="F47" s="85"/>
      <c r="G47" s="85"/>
      <c r="H47" s="85"/>
      <c r="I47" s="85"/>
      <c r="J47" s="16"/>
    </row>
    <row r="48" ht="15.75" customHeight="1">
      <c r="A48" s="33"/>
      <c r="B48" s="33"/>
      <c r="C48" s="323" t="s">
        <v>206</v>
      </c>
      <c r="D48" s="85"/>
      <c r="E48" s="85"/>
      <c r="F48" s="16"/>
      <c r="G48" s="324" t="s">
        <v>207</v>
      </c>
      <c r="H48" s="85"/>
      <c r="I48" s="85"/>
      <c r="J48" s="16"/>
    </row>
    <row r="49" ht="15.75" customHeight="1">
      <c r="A49" s="113" t="s">
        <v>60</v>
      </c>
      <c r="B49" s="49" t="s">
        <v>208</v>
      </c>
      <c r="C49" s="325">
        <v>0.05</v>
      </c>
      <c r="D49" s="326">
        <v>0.1</v>
      </c>
      <c r="E49" s="326">
        <v>0.15</v>
      </c>
      <c r="F49" s="326">
        <v>0.2</v>
      </c>
      <c r="G49" s="327">
        <v>0.05</v>
      </c>
      <c r="H49" s="327">
        <v>0.1</v>
      </c>
      <c r="I49" s="327">
        <v>0.15</v>
      </c>
      <c r="J49" s="327">
        <v>0.2</v>
      </c>
    </row>
    <row r="50" ht="15.0" customHeight="1">
      <c r="A50" s="33" t="s">
        <v>193</v>
      </c>
      <c r="B50" s="328"/>
      <c r="C50" s="329"/>
      <c r="D50" s="329"/>
      <c r="E50" s="329"/>
      <c r="F50" s="329"/>
      <c r="G50" s="328"/>
      <c r="H50" s="328"/>
      <c r="I50" s="328"/>
      <c r="J50" s="328"/>
    </row>
    <row r="51" ht="15.0" customHeight="1">
      <c r="A51" s="33" t="s">
        <v>209</v>
      </c>
      <c r="B51" s="328"/>
      <c r="C51" s="329"/>
      <c r="D51" s="329"/>
      <c r="E51" s="329"/>
      <c r="F51" s="329"/>
      <c r="G51" s="328"/>
      <c r="H51" s="328"/>
      <c r="I51" s="328"/>
      <c r="J51" s="328"/>
    </row>
    <row r="52" ht="15.75" customHeight="1">
      <c r="A52" s="33" t="s">
        <v>26</v>
      </c>
      <c r="B52" s="330"/>
      <c r="C52" s="331"/>
      <c r="D52" s="331"/>
      <c r="E52" s="331"/>
      <c r="F52" s="331"/>
      <c r="G52" s="332"/>
      <c r="H52" s="332"/>
      <c r="I52" s="332"/>
      <c r="J52" s="332"/>
    </row>
    <row r="53" ht="15.0" customHeight="1">
      <c r="A53" s="283"/>
      <c r="B53" s="333"/>
      <c r="C53" s="333"/>
      <c r="D53" s="333"/>
      <c r="E53" s="333"/>
      <c r="F53" s="333"/>
      <c r="G53" s="333"/>
      <c r="H53" s="333"/>
      <c r="I53" s="333"/>
      <c r="J53" s="334"/>
    </row>
    <row r="54" ht="15.75" customHeight="1">
      <c r="A54" s="63" t="s">
        <v>210</v>
      </c>
      <c r="B54" s="335" t="str">
        <f t="shared" ref="B54:J54" si="8">+B50/B51</f>
        <v>#DIV/0!</v>
      </c>
      <c r="C54" s="335" t="str">
        <f t="shared" si="8"/>
        <v>#DIV/0!</v>
      </c>
      <c r="D54" s="335" t="str">
        <f t="shared" si="8"/>
        <v>#DIV/0!</v>
      </c>
      <c r="E54" s="335" t="str">
        <f t="shared" si="8"/>
        <v>#DIV/0!</v>
      </c>
      <c r="F54" s="335" t="str">
        <f t="shared" si="8"/>
        <v>#DIV/0!</v>
      </c>
      <c r="G54" s="335" t="str">
        <f t="shared" si="8"/>
        <v>#DIV/0!</v>
      </c>
      <c r="H54" s="335" t="str">
        <f t="shared" si="8"/>
        <v>#DIV/0!</v>
      </c>
      <c r="I54" s="335" t="str">
        <f t="shared" si="8"/>
        <v>#DIV/0!</v>
      </c>
      <c r="J54" s="336" t="str">
        <f t="shared" si="8"/>
        <v>#DIV/0!</v>
      </c>
    </row>
    <row r="55" ht="15.75" customHeight="1">
      <c r="A55" s="41"/>
      <c r="B55" s="337"/>
      <c r="C55" s="337"/>
      <c r="D55" s="337"/>
      <c r="E55" s="337"/>
      <c r="F55" s="337"/>
      <c r="G55" s="299"/>
      <c r="H55" s="299"/>
      <c r="I55" s="299"/>
      <c r="J55" s="300"/>
    </row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">
    <mergeCell ref="C26:F26"/>
    <mergeCell ref="G26:J26"/>
    <mergeCell ref="A36:J36"/>
    <mergeCell ref="C37:F37"/>
    <mergeCell ref="G37:J37"/>
    <mergeCell ref="A47:J47"/>
    <mergeCell ref="C48:F48"/>
    <mergeCell ref="G48:J48"/>
    <mergeCell ref="A6:J6"/>
    <mergeCell ref="C7:F7"/>
    <mergeCell ref="G7:J7"/>
    <mergeCell ref="A15:J15"/>
    <mergeCell ref="C16:F16"/>
    <mergeCell ref="G16:J16"/>
    <mergeCell ref="A25:J25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9966"/>
    <pageSetUpPr/>
  </sheetPr>
  <sheetViews>
    <sheetView workbookViewId="0"/>
  </sheetViews>
  <sheetFormatPr customHeight="1" defaultColWidth="12.63" defaultRowHeight="15.0"/>
  <cols>
    <col customWidth="1" min="1" max="3" width="8.0"/>
    <col customWidth="1" min="4" max="4" width="20.63"/>
    <col customWidth="1" min="5" max="5" width="18.13"/>
    <col customWidth="1" min="6" max="6" width="19.13"/>
    <col customWidth="1" min="7" max="7" width="18.13"/>
    <col customWidth="1" min="8" max="9" width="20.63"/>
    <col customWidth="1" min="10" max="10" width="16.25"/>
    <col customWidth="1" min="11" max="26" width="8.0"/>
  </cols>
  <sheetData>
    <row r="1" ht="12.75" customHeight="1"/>
    <row r="2" ht="21.0" customHeight="1">
      <c r="B2" s="339" t="s">
        <v>215</v>
      </c>
      <c r="C2" s="276"/>
      <c r="D2" s="276"/>
      <c r="E2" s="276"/>
      <c r="F2" s="276"/>
      <c r="G2" s="276"/>
      <c r="H2" s="276"/>
      <c r="I2" s="277"/>
      <c r="J2" s="340"/>
    </row>
    <row r="3" ht="15.75" customHeight="1">
      <c r="B3" s="341"/>
      <c r="C3" s="341"/>
      <c r="D3" s="341"/>
      <c r="E3" s="341"/>
      <c r="F3" s="341"/>
      <c r="G3" s="341"/>
      <c r="H3" s="341"/>
      <c r="I3" s="341"/>
      <c r="J3" s="340"/>
    </row>
    <row r="4" ht="16.5" customHeight="1">
      <c r="B4" s="341"/>
      <c r="C4" s="342" t="s">
        <v>216</v>
      </c>
      <c r="D4" s="343"/>
      <c r="E4" s="344">
        <v>0.09</v>
      </c>
      <c r="F4" s="343"/>
      <c r="G4" s="343"/>
      <c r="H4" s="343"/>
      <c r="I4" s="343"/>
      <c r="J4" s="5"/>
    </row>
    <row r="5" ht="15.0" customHeight="1">
      <c r="B5" s="341"/>
      <c r="C5" s="343"/>
      <c r="D5" s="343"/>
      <c r="E5" s="343"/>
      <c r="F5" s="343"/>
      <c r="G5" s="343"/>
      <c r="H5" s="343"/>
      <c r="I5" s="343"/>
      <c r="J5" s="5"/>
    </row>
    <row r="6" ht="15.75" customHeight="1">
      <c r="B6" s="341"/>
      <c r="C6" s="345" t="s">
        <v>217</v>
      </c>
      <c r="D6" s="345" t="s">
        <v>106</v>
      </c>
      <c r="E6" s="345" t="s">
        <v>218</v>
      </c>
      <c r="F6" s="346" t="s">
        <v>219</v>
      </c>
      <c r="G6" s="347" t="s">
        <v>220</v>
      </c>
      <c r="H6" s="347" t="s">
        <v>106</v>
      </c>
      <c r="I6" s="347" t="s">
        <v>107</v>
      </c>
      <c r="J6" s="5"/>
    </row>
    <row r="7" ht="15.75" customHeight="1">
      <c r="B7" s="341"/>
      <c r="C7" s="348"/>
      <c r="D7" s="348"/>
      <c r="E7" s="348"/>
      <c r="F7" s="348"/>
      <c r="G7" s="347" t="s">
        <v>221</v>
      </c>
      <c r="H7" s="347" t="s">
        <v>222</v>
      </c>
      <c r="I7" s="347" t="s">
        <v>222</v>
      </c>
      <c r="J7" s="5"/>
      <c r="O7" s="227"/>
      <c r="P7" s="227"/>
      <c r="Q7" s="227"/>
      <c r="R7" s="227"/>
      <c r="S7" s="227"/>
    </row>
    <row r="8" ht="15.75" customHeight="1">
      <c r="B8" s="341"/>
      <c r="C8" s="347">
        <v>0.0</v>
      </c>
      <c r="D8" s="349">
        <v>4999704.191401425</v>
      </c>
      <c r="E8" s="350">
        <f>215000*12</f>
        <v>2580000</v>
      </c>
      <c r="F8" s="350">
        <f t="shared" ref="F8:F13" si="1">D8-E8</f>
        <v>2419704.191</v>
      </c>
      <c r="G8" s="351">
        <f t="shared" ref="G8:G13" si="2">1/(1+$E$4)^C8</f>
        <v>1</v>
      </c>
      <c r="H8" s="350">
        <f t="shared" ref="H8:H13" si="3">G8*D8</f>
        <v>4999704.191</v>
      </c>
      <c r="I8" s="352">
        <f t="shared" ref="I8:I13" si="4">G8*E8</f>
        <v>2580000</v>
      </c>
      <c r="J8" s="5"/>
    </row>
    <row r="9" ht="15.75" customHeight="1">
      <c r="B9" s="341"/>
      <c r="C9" s="347">
        <v>1.0</v>
      </c>
      <c r="D9" s="349">
        <v>5367573.9384</v>
      </c>
      <c r="E9" s="350">
        <f t="shared" ref="E9:E13" si="5">(215000*1.09)*12</f>
        <v>2812200</v>
      </c>
      <c r="F9" s="350">
        <f t="shared" si="1"/>
        <v>2555373.938</v>
      </c>
      <c r="G9" s="351">
        <f t="shared" si="2"/>
        <v>0.9174311927</v>
      </c>
      <c r="H9" s="350">
        <f t="shared" si="3"/>
        <v>4924379.76</v>
      </c>
      <c r="I9" s="352">
        <f t="shared" si="4"/>
        <v>2580000</v>
      </c>
      <c r="J9" s="5">
        <f t="shared" ref="J9:J13" si="6">H9/I9</f>
        <v>1.908674326</v>
      </c>
    </row>
    <row r="10" ht="15.75" customHeight="1">
      <c r="B10" s="341"/>
      <c r="C10" s="347">
        <v>2.0</v>
      </c>
      <c r="D10" s="349">
        <v>6377214.596213042</v>
      </c>
      <c r="E10" s="350">
        <f t="shared" si="5"/>
        <v>2812200</v>
      </c>
      <c r="F10" s="350">
        <f t="shared" si="1"/>
        <v>3565014.596</v>
      </c>
      <c r="G10" s="351">
        <f t="shared" si="2"/>
        <v>0.8416799933</v>
      </c>
      <c r="H10" s="350">
        <f t="shared" si="3"/>
        <v>5367573.938</v>
      </c>
      <c r="I10" s="352">
        <f t="shared" si="4"/>
        <v>2366972.477</v>
      </c>
      <c r="J10" s="5">
        <f t="shared" si="6"/>
        <v>2.267695966</v>
      </c>
    </row>
    <row r="11" ht="15.75" customHeight="1">
      <c r="B11" s="341"/>
      <c r="C11" s="347">
        <v>3.0</v>
      </c>
      <c r="D11" s="353">
        <v>5850655.592855998</v>
      </c>
      <c r="E11" s="350">
        <f t="shared" si="5"/>
        <v>2812200</v>
      </c>
      <c r="F11" s="350">
        <f t="shared" si="1"/>
        <v>3038455.593</v>
      </c>
      <c r="G11" s="351">
        <f t="shared" si="2"/>
        <v>0.7721834801</v>
      </c>
      <c r="H11" s="350">
        <f t="shared" si="3"/>
        <v>4517779.596</v>
      </c>
      <c r="I11" s="352">
        <f t="shared" si="4"/>
        <v>2171534.383</v>
      </c>
      <c r="J11" s="5">
        <f t="shared" si="6"/>
        <v>2.080455015</v>
      </c>
    </row>
    <row r="12" ht="15.75" customHeight="1">
      <c r="B12" s="341"/>
      <c r="C12" s="347">
        <v>4.0</v>
      </c>
      <c r="D12" s="353">
        <v>6377214.596213042</v>
      </c>
      <c r="E12" s="350">
        <f t="shared" si="5"/>
        <v>2812200</v>
      </c>
      <c r="F12" s="350">
        <f t="shared" si="1"/>
        <v>3565014.596</v>
      </c>
      <c r="G12" s="351">
        <f t="shared" si="2"/>
        <v>0.7084252111</v>
      </c>
      <c r="H12" s="350">
        <f t="shared" si="3"/>
        <v>4517779.596</v>
      </c>
      <c r="I12" s="352">
        <f t="shared" si="4"/>
        <v>1992233.379</v>
      </c>
      <c r="J12" s="5">
        <f t="shared" si="6"/>
        <v>2.267695966</v>
      </c>
    </row>
    <row r="13" ht="15.75" customHeight="1">
      <c r="B13" s="341"/>
      <c r="C13" s="347">
        <v>5.0</v>
      </c>
      <c r="D13" s="354">
        <v>6951163.909872215</v>
      </c>
      <c r="E13" s="350">
        <f t="shared" si="5"/>
        <v>2812200</v>
      </c>
      <c r="F13" s="350">
        <f t="shared" si="1"/>
        <v>4138963.91</v>
      </c>
      <c r="G13" s="351">
        <f t="shared" si="2"/>
        <v>0.6499313863</v>
      </c>
      <c r="H13" s="350">
        <f t="shared" si="3"/>
        <v>4517779.596</v>
      </c>
      <c r="I13" s="352">
        <f t="shared" si="4"/>
        <v>1827737.045</v>
      </c>
      <c r="J13" s="5">
        <f t="shared" si="6"/>
        <v>2.471788603</v>
      </c>
    </row>
    <row r="14" ht="15.75" customHeight="1">
      <c r="B14" s="341"/>
      <c r="C14" s="347" t="s">
        <v>26</v>
      </c>
      <c r="D14" s="355">
        <f>SUM(D8:D13)</f>
        <v>35923526.82</v>
      </c>
      <c r="E14" s="347"/>
      <c r="F14" s="347"/>
      <c r="G14" s="347"/>
      <c r="H14" s="355">
        <f t="shared" ref="H14:I14" si="7">SUM(H8:H13)</f>
        <v>28844996.68</v>
      </c>
      <c r="I14" s="355">
        <f t="shared" si="7"/>
        <v>13518477.28</v>
      </c>
      <c r="J14" s="5"/>
    </row>
    <row r="15" ht="15.0" customHeight="1">
      <c r="B15" s="341"/>
      <c r="C15" s="343"/>
      <c r="D15" s="343"/>
      <c r="E15" s="343"/>
      <c r="F15" s="343"/>
      <c r="G15" s="343"/>
      <c r="H15" s="343"/>
      <c r="I15" s="343"/>
      <c r="J15" s="5"/>
    </row>
    <row r="16" ht="15.0" customHeight="1">
      <c r="B16" s="341"/>
      <c r="C16" s="343"/>
      <c r="D16" s="343"/>
      <c r="E16" s="343"/>
      <c r="F16" s="343"/>
      <c r="G16" s="356"/>
      <c r="H16" s="343"/>
      <c r="I16" s="343"/>
      <c r="J16" s="5"/>
    </row>
    <row r="17" ht="16.5" customHeight="1">
      <c r="B17" s="341"/>
      <c r="C17" s="343"/>
      <c r="D17" s="343"/>
      <c r="E17" s="343"/>
      <c r="F17" s="357" t="s">
        <v>223</v>
      </c>
      <c r="G17" s="358">
        <f>H14-I14</f>
        <v>15326519.4</v>
      </c>
      <c r="H17" s="343"/>
      <c r="I17" s="359"/>
      <c r="J17" s="5"/>
    </row>
    <row r="18" ht="16.5" customHeight="1">
      <c r="B18" s="341"/>
      <c r="C18" s="343"/>
      <c r="D18" s="343"/>
      <c r="E18" s="343"/>
      <c r="F18" s="357" t="s">
        <v>224</v>
      </c>
      <c r="G18" s="360">
        <v>0.15</v>
      </c>
      <c r="H18" s="343"/>
      <c r="I18" s="343"/>
      <c r="J18" s="5"/>
    </row>
    <row r="19" ht="16.5" customHeight="1">
      <c r="B19" s="341"/>
      <c r="C19" s="343"/>
      <c r="D19" s="343"/>
      <c r="E19" s="343"/>
      <c r="F19" s="357" t="s">
        <v>225</v>
      </c>
      <c r="G19" s="361">
        <f>H14/I14</f>
        <v>2.133745989</v>
      </c>
      <c r="H19" s="343"/>
      <c r="I19" s="343"/>
      <c r="J19" s="5"/>
    </row>
    <row r="20" ht="15.0" customHeight="1">
      <c r="B20" s="341"/>
      <c r="C20" s="343"/>
      <c r="D20" s="343"/>
      <c r="E20" s="343"/>
      <c r="F20" s="343"/>
      <c r="G20" s="343"/>
      <c r="H20" s="343"/>
      <c r="I20" s="343"/>
      <c r="J20" s="5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B2:I2"/>
    <mergeCell ref="C6:C7"/>
    <mergeCell ref="D6:D7"/>
    <mergeCell ref="E6:E7"/>
    <mergeCell ref="F6:F7"/>
  </mergeCells>
  <printOptions/>
  <pageMargins bottom="0.75" footer="0.0" header="0.0" left="0.7" right="0.7" top="0.75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4.38"/>
    <col customWidth="1" min="2" max="2" width="13.13"/>
    <col customWidth="1" min="3" max="3" width="13.75"/>
    <col customWidth="1" min="4" max="4" width="14.63"/>
    <col customWidth="1" min="5" max="5" width="13.0"/>
    <col customWidth="1" min="6" max="26" width="8.0"/>
  </cols>
  <sheetData>
    <row r="1" ht="12.75" customHeight="1"/>
    <row r="2" ht="12.75" customHeight="1"/>
    <row r="3" ht="12.75" customHeight="1">
      <c r="A3" s="362" t="s">
        <v>226</v>
      </c>
      <c r="B3" s="363"/>
      <c r="C3" s="363"/>
      <c r="D3" s="363"/>
      <c r="E3" s="363"/>
    </row>
    <row r="4" ht="12.75" customHeight="1">
      <c r="A4" s="362" t="s">
        <v>227</v>
      </c>
      <c r="B4" s="364" t="s">
        <v>186</v>
      </c>
      <c r="C4" s="364" t="s">
        <v>187</v>
      </c>
      <c r="D4" s="364" t="s">
        <v>188</v>
      </c>
      <c r="E4" s="364" t="s">
        <v>189</v>
      </c>
    </row>
    <row r="5" ht="12.75" customHeight="1">
      <c r="A5" s="362" t="s">
        <v>228</v>
      </c>
      <c r="B5" s="364"/>
      <c r="C5" s="364"/>
      <c r="D5" s="364"/>
      <c r="E5" s="364"/>
    </row>
    <row r="6" ht="12.75" customHeight="1">
      <c r="A6" s="365"/>
      <c r="B6" s="366"/>
      <c r="C6" s="367"/>
      <c r="D6" s="367"/>
      <c r="E6" s="367"/>
    </row>
    <row r="7" ht="12.75" customHeight="1">
      <c r="A7" s="362" t="s">
        <v>229</v>
      </c>
      <c r="B7" s="368">
        <f>+'CUADRO DE EGRESOS E INGRESOS'!B94</f>
        <v>2010440.911</v>
      </c>
      <c r="C7" s="369" t="str">
        <f t="shared" ref="C7:E7" si="1">+C6</f>
        <v/>
      </c>
      <c r="D7" s="369" t="str">
        <f t="shared" si="1"/>
        <v/>
      </c>
      <c r="E7" s="369" t="str">
        <f t="shared" si="1"/>
        <v/>
      </c>
    </row>
    <row r="8" ht="12.75" customHeight="1">
      <c r="A8" s="365"/>
      <c r="B8" s="366"/>
      <c r="C8" s="366"/>
      <c r="D8" s="366"/>
      <c r="E8" s="366"/>
    </row>
    <row r="9" ht="12.75" customHeight="1">
      <c r="A9" s="362" t="s">
        <v>230</v>
      </c>
      <c r="B9" s="366"/>
      <c r="C9" s="366"/>
      <c r="D9" s="366"/>
      <c r="E9" s="366"/>
    </row>
    <row r="10" ht="12.75" customHeight="1">
      <c r="A10" s="370"/>
      <c r="B10" s="371"/>
      <c r="C10" s="371"/>
      <c r="D10" s="367"/>
      <c r="E10" s="367"/>
    </row>
    <row r="11" ht="12.75" customHeight="1">
      <c r="A11" s="370"/>
      <c r="B11" s="371"/>
      <c r="C11" s="372"/>
      <c r="D11" s="372"/>
      <c r="E11" s="372"/>
    </row>
    <row r="12" ht="12.75" customHeight="1">
      <c r="A12" s="370"/>
      <c r="B12" s="371"/>
      <c r="C12" s="373"/>
      <c r="D12" s="373"/>
      <c r="E12" s="373"/>
    </row>
    <row r="13" ht="12.75" customHeight="1">
      <c r="A13" s="374"/>
      <c r="B13" s="371"/>
      <c r="C13" s="373"/>
      <c r="D13" s="373"/>
      <c r="E13" s="373"/>
    </row>
    <row r="14" ht="12.75" customHeight="1">
      <c r="A14" s="374"/>
      <c r="B14" s="371"/>
      <c r="C14" s="373"/>
      <c r="D14" s="373"/>
      <c r="E14" s="373"/>
    </row>
    <row r="15" ht="12.75" customHeight="1">
      <c r="A15" s="374"/>
      <c r="B15" s="371"/>
      <c r="C15" s="373"/>
      <c r="D15" s="373"/>
      <c r="E15" s="373"/>
    </row>
    <row r="16" ht="12.75" customHeight="1">
      <c r="A16" s="374"/>
      <c r="B16" s="371"/>
      <c r="C16" s="373"/>
      <c r="D16" s="373"/>
      <c r="E16" s="373"/>
    </row>
    <row r="17" ht="12.75" customHeight="1">
      <c r="A17" s="374"/>
      <c r="B17" s="371"/>
      <c r="C17" s="373"/>
      <c r="D17" s="373"/>
      <c r="E17" s="373"/>
    </row>
    <row r="18" ht="12.75" customHeight="1">
      <c r="A18" s="374"/>
      <c r="B18" s="371"/>
      <c r="C18" s="373"/>
      <c r="D18" s="373"/>
      <c r="E18" s="373"/>
    </row>
    <row r="19" ht="12.75" customHeight="1">
      <c r="A19" s="374"/>
      <c r="B19" s="371"/>
      <c r="C19" s="373"/>
      <c r="D19" s="373"/>
      <c r="E19" s="373"/>
    </row>
    <row r="20" ht="12.75" customHeight="1">
      <c r="A20" s="374"/>
      <c r="B20" s="371"/>
      <c r="C20" s="373"/>
      <c r="D20" s="373"/>
      <c r="E20" s="373"/>
    </row>
    <row r="21" ht="12.75" customHeight="1">
      <c r="A21" s="374"/>
      <c r="B21" s="371"/>
      <c r="C21" s="373"/>
      <c r="D21" s="373"/>
      <c r="E21" s="373"/>
    </row>
    <row r="22" ht="12.75" customHeight="1">
      <c r="A22" s="374"/>
      <c r="B22" s="371"/>
      <c r="C22" s="373"/>
      <c r="D22" s="373"/>
      <c r="E22" s="373"/>
    </row>
    <row r="23" ht="12.75" customHeight="1">
      <c r="A23" s="374"/>
      <c r="B23" s="371"/>
      <c r="C23" s="373"/>
      <c r="D23" s="373"/>
      <c r="E23" s="373"/>
    </row>
    <row r="24" ht="12.75" customHeight="1">
      <c r="A24" s="374"/>
      <c r="B24" s="371"/>
      <c r="C24" s="373"/>
      <c r="D24" s="373"/>
      <c r="E24" s="373"/>
    </row>
    <row r="25" ht="12.75" customHeight="1">
      <c r="A25" s="374"/>
      <c r="B25" s="371"/>
      <c r="C25" s="373"/>
      <c r="D25" s="373"/>
      <c r="E25" s="373"/>
    </row>
    <row r="26" ht="12.75" customHeight="1">
      <c r="A26" s="374"/>
      <c r="B26" s="371"/>
      <c r="C26" s="373"/>
      <c r="D26" s="373"/>
      <c r="E26" s="373"/>
    </row>
    <row r="27" ht="12.75" customHeight="1">
      <c r="A27" s="374"/>
      <c r="B27" s="371"/>
      <c r="C27" s="373"/>
      <c r="D27" s="373"/>
      <c r="E27" s="373"/>
    </row>
    <row r="28" ht="12.75" customHeight="1">
      <c r="A28" s="374"/>
      <c r="B28" s="371"/>
      <c r="C28" s="373"/>
      <c r="D28" s="373"/>
      <c r="E28" s="373"/>
    </row>
    <row r="29" ht="12.75" customHeight="1">
      <c r="A29" s="374"/>
      <c r="B29" s="371"/>
      <c r="C29" s="373"/>
      <c r="D29" s="373"/>
      <c r="E29" s="373"/>
    </row>
    <row r="30" ht="12.75" customHeight="1">
      <c r="A30" s="374"/>
      <c r="B30" s="371"/>
      <c r="C30" s="373"/>
      <c r="D30" s="373"/>
      <c r="E30" s="373"/>
    </row>
    <row r="31" ht="12.75" customHeight="1">
      <c r="A31" s="374"/>
      <c r="B31" s="371"/>
      <c r="C31" s="373"/>
      <c r="D31" s="373"/>
      <c r="E31" s="373"/>
    </row>
    <row r="32" ht="12.75" customHeight="1">
      <c r="A32" s="362" t="s">
        <v>231</v>
      </c>
      <c r="B32" s="371" t="str">
        <f>+DEPRECIACIONES!#REF!</f>
        <v>#ERROR!</v>
      </c>
      <c r="C32" s="373" t="str">
        <f>+B32/10+B32</f>
        <v>#ERROR!</v>
      </c>
      <c r="D32" s="373" t="str">
        <f>+B32/10+C32</f>
        <v>#ERROR!</v>
      </c>
      <c r="E32" s="373" t="str">
        <f>+B32/10+D32</f>
        <v>#ERROR!</v>
      </c>
    </row>
    <row r="33" ht="12.75" customHeight="1">
      <c r="A33" s="365"/>
      <c r="B33" s="375" t="str">
        <f t="shared" ref="B33:E33" si="2">SUM(B10:B32)</f>
        <v>#ERROR!</v>
      </c>
      <c r="C33" s="375" t="str">
        <f t="shared" si="2"/>
        <v>#ERROR!</v>
      </c>
      <c r="D33" s="375" t="str">
        <f t="shared" si="2"/>
        <v>#ERROR!</v>
      </c>
      <c r="E33" s="375" t="str">
        <f t="shared" si="2"/>
        <v>#ERROR!</v>
      </c>
    </row>
    <row r="34" ht="12.75" customHeight="1">
      <c r="A34" s="362" t="s">
        <v>232</v>
      </c>
      <c r="B34" s="366"/>
      <c r="C34" s="366"/>
      <c r="D34" s="366"/>
      <c r="E34" s="366"/>
    </row>
    <row r="35" ht="12.75" customHeight="1">
      <c r="A35" s="365"/>
      <c r="B35" s="366"/>
      <c r="C35" s="366"/>
      <c r="D35" s="366"/>
      <c r="E35" s="366"/>
    </row>
    <row r="36" ht="12.75" customHeight="1">
      <c r="A36" s="362" t="s">
        <v>233</v>
      </c>
      <c r="B36" s="376"/>
      <c r="C36" s="376"/>
      <c r="D36" s="376"/>
      <c r="E36" s="376"/>
    </row>
    <row r="37" ht="12.75" customHeight="1">
      <c r="A37" s="377" t="s">
        <v>234</v>
      </c>
      <c r="B37" s="378"/>
      <c r="C37" s="366"/>
      <c r="D37" s="366"/>
      <c r="E37" s="366"/>
    </row>
    <row r="38" ht="12.75" customHeight="1">
      <c r="B38" s="373"/>
      <c r="C38" s="373"/>
      <c r="D38" s="373"/>
      <c r="E38" s="373"/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9966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58.13"/>
    <col customWidth="1" min="3" max="26" width="8.0"/>
  </cols>
  <sheetData>
    <row r="1" ht="12.75" customHeight="1"/>
    <row r="2" ht="12.75" customHeight="1">
      <c r="B2" s="379" t="s">
        <v>235</v>
      </c>
      <c r="C2" s="228"/>
      <c r="D2" s="228"/>
    </row>
    <row r="3" ht="12.75" customHeight="1">
      <c r="B3" s="379" t="s">
        <v>236</v>
      </c>
      <c r="C3" s="228"/>
      <c r="D3" s="228"/>
    </row>
    <row r="4" ht="12.75" customHeight="1">
      <c r="B4" s="379" t="s">
        <v>237</v>
      </c>
      <c r="C4" s="380">
        <v>2.410584E7</v>
      </c>
      <c r="D4" s="381">
        <v>1.0</v>
      </c>
    </row>
    <row r="5" ht="12.75" customHeight="1">
      <c r="B5" s="379" t="s">
        <v>238</v>
      </c>
      <c r="C5" s="380">
        <v>4320000.0</v>
      </c>
      <c r="D5" s="381">
        <v>0.1792</v>
      </c>
    </row>
    <row r="6" ht="12.75" customHeight="1">
      <c r="B6" s="379" t="s">
        <v>239</v>
      </c>
      <c r="C6" s="380">
        <v>2.1695256E7</v>
      </c>
      <c r="D6" s="381">
        <v>0.9</v>
      </c>
    </row>
    <row r="7" ht="12.75" customHeight="1">
      <c r="B7" s="379" t="s">
        <v>240</v>
      </c>
      <c r="C7" s="380">
        <v>6730584.0</v>
      </c>
      <c r="D7" s="381">
        <v>0.2792</v>
      </c>
    </row>
    <row r="8" ht="12.75" customHeight="1">
      <c r="B8" s="379" t="s">
        <v>241</v>
      </c>
      <c r="C8" s="380">
        <v>1008000.0</v>
      </c>
      <c r="D8" s="381">
        <v>0.0418</v>
      </c>
    </row>
    <row r="9" ht="12.75" customHeight="1">
      <c r="B9" s="379" t="s">
        <v>242</v>
      </c>
      <c r="C9" s="380">
        <v>2691000.0</v>
      </c>
      <c r="D9" s="381">
        <v>0.1116</v>
      </c>
    </row>
    <row r="10" ht="12.75" customHeight="1">
      <c r="B10" s="379" t="s">
        <v>243</v>
      </c>
      <c r="C10" s="380">
        <v>12000.0</v>
      </c>
      <c r="D10" s="381">
        <v>5.0E-4</v>
      </c>
    </row>
    <row r="11" ht="12.75" customHeight="1">
      <c r="B11" s="379" t="s">
        <v>244</v>
      </c>
      <c r="C11" s="380">
        <v>3019584.0</v>
      </c>
      <c r="D11" s="381">
        <v>0.1253</v>
      </c>
    </row>
    <row r="12" ht="12.75" customHeight="1">
      <c r="B12" s="379" t="s">
        <v>245</v>
      </c>
      <c r="C12" s="380">
        <v>3019584.0</v>
      </c>
      <c r="D12" s="381">
        <v>0.1253</v>
      </c>
    </row>
    <row r="13" ht="12.75" customHeight="1">
      <c r="B13" s="379" t="s">
        <v>133</v>
      </c>
      <c r="C13" s="380">
        <v>905875.2</v>
      </c>
      <c r="D13" s="381">
        <v>0.0376</v>
      </c>
    </row>
    <row r="14" ht="12.75" customHeight="1">
      <c r="B14" s="379" t="s">
        <v>246</v>
      </c>
      <c r="C14" s="380">
        <v>2113708.8</v>
      </c>
      <c r="D14" s="381">
        <v>0.0877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9.0"/>
    <col customWidth="1" min="3" max="3" width="7.13"/>
    <col customWidth="1" min="4" max="4" width="7.0"/>
    <col customWidth="1" min="5" max="5" width="6.88"/>
    <col customWidth="1" min="6" max="6" width="6.63"/>
    <col customWidth="1" min="7" max="7" width="7.13"/>
    <col customWidth="1" min="8" max="8" width="6.88"/>
    <col customWidth="1" min="9" max="9" width="7.0"/>
    <col customWidth="1" min="10" max="10" width="7.13"/>
    <col customWidth="1" min="11" max="11" width="6.13"/>
    <col customWidth="1" min="12" max="12" width="7.0"/>
    <col customWidth="1" min="13" max="13" width="6.88"/>
    <col customWidth="1" min="14" max="14" width="7.25"/>
    <col customWidth="1" min="15" max="26" width="8.0"/>
  </cols>
  <sheetData>
    <row r="1" ht="18.0" customHeight="1">
      <c r="A1" s="157" t="s">
        <v>247</v>
      </c>
    </row>
    <row r="2" ht="18.0" customHeight="1">
      <c r="A2" s="157"/>
    </row>
    <row r="3" ht="15.75" customHeight="1">
      <c r="A3" s="7" t="s">
        <v>164</v>
      </c>
      <c r="B3" s="7"/>
      <c r="C3" s="7"/>
      <c r="D3" s="7"/>
      <c r="F3" s="7"/>
      <c r="G3" s="7"/>
      <c r="H3" s="7"/>
      <c r="I3" s="5"/>
      <c r="J3" s="5"/>
      <c r="K3" s="5"/>
      <c r="L3" s="5"/>
      <c r="M3" s="5"/>
      <c r="N3" s="5"/>
    </row>
    <row r="4" ht="15.75" customHeight="1">
      <c r="A4" s="7" t="s">
        <v>165</v>
      </c>
      <c r="B4" s="7"/>
      <c r="C4" s="7"/>
      <c r="D4" s="7"/>
      <c r="F4" s="7"/>
      <c r="G4" s="7"/>
      <c r="H4" s="7"/>
      <c r="I4" s="5"/>
      <c r="J4" s="5"/>
      <c r="K4" s="5"/>
      <c r="L4" s="5"/>
      <c r="M4" s="5"/>
      <c r="N4" s="5"/>
    </row>
    <row r="5" ht="15.75" customHeight="1">
      <c r="A5" s="7" t="s">
        <v>166</v>
      </c>
      <c r="B5" s="7"/>
      <c r="C5" s="7"/>
      <c r="D5" s="7"/>
      <c r="E5" s="8"/>
      <c r="F5" s="8"/>
      <c r="G5" s="7"/>
      <c r="H5" s="8"/>
      <c r="I5" s="5"/>
      <c r="J5" s="5"/>
      <c r="K5" s="5"/>
      <c r="L5" s="5"/>
      <c r="M5" s="5"/>
      <c r="N5" s="5"/>
    </row>
    <row r="6" ht="12.75" customHeight="1"/>
    <row r="7" ht="15.75" customHeight="1">
      <c r="A7" s="382" t="s">
        <v>248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383"/>
    </row>
    <row r="8" ht="15.0" customHeight="1">
      <c r="A8" s="33"/>
      <c r="B8" s="33"/>
      <c r="C8" s="384" t="s">
        <v>145</v>
      </c>
      <c r="D8" s="85"/>
      <c r="E8" s="85"/>
      <c r="F8" s="85"/>
      <c r="G8" s="85"/>
      <c r="H8" s="85"/>
      <c r="I8" s="85"/>
      <c r="J8" s="85"/>
      <c r="K8" s="85"/>
      <c r="L8" s="85"/>
      <c r="M8" s="85"/>
      <c r="N8" s="16"/>
    </row>
    <row r="9" ht="15.75" customHeight="1">
      <c r="A9" s="146" t="s">
        <v>60</v>
      </c>
      <c r="B9" s="16"/>
      <c r="C9" s="49">
        <v>1.0</v>
      </c>
      <c r="D9" s="49">
        <v>2.0</v>
      </c>
      <c r="E9" s="49">
        <v>3.0</v>
      </c>
      <c r="F9" s="49">
        <v>4.0</v>
      </c>
      <c r="G9" s="49">
        <v>5.0</v>
      </c>
      <c r="H9" s="49">
        <v>6.0</v>
      </c>
      <c r="I9" s="49">
        <v>7.0</v>
      </c>
      <c r="J9" s="49">
        <v>8.0</v>
      </c>
      <c r="K9" s="49">
        <v>9.0</v>
      </c>
      <c r="L9" s="49">
        <v>10.0</v>
      </c>
      <c r="M9" s="49">
        <v>11.0</v>
      </c>
      <c r="N9" s="49">
        <v>12.0</v>
      </c>
    </row>
    <row r="10" ht="15.75" customHeight="1">
      <c r="A10" s="33"/>
      <c r="B10" s="113"/>
      <c r="C10" s="385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</row>
    <row r="11" ht="15.75" customHeight="1">
      <c r="A11" s="33"/>
      <c r="B11" s="11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</row>
    <row r="12" ht="15.75" customHeight="1">
      <c r="A12" s="33"/>
      <c r="B12" s="113"/>
      <c r="C12" s="385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</row>
    <row r="13" ht="15.75" customHeight="1">
      <c r="A13" s="33"/>
      <c r="B13" s="113"/>
      <c r="C13" s="33"/>
      <c r="D13" s="385"/>
      <c r="E13" s="33"/>
      <c r="F13" s="33"/>
      <c r="G13" s="33"/>
      <c r="H13" s="33"/>
      <c r="I13" s="33"/>
      <c r="J13" s="33"/>
      <c r="K13" s="33"/>
      <c r="L13" s="33"/>
      <c r="M13" s="33"/>
      <c r="N13" s="33"/>
    </row>
    <row r="14" ht="15.75" customHeight="1">
      <c r="A14" s="33"/>
      <c r="B14" s="113"/>
      <c r="C14" s="385"/>
      <c r="D14" s="385"/>
      <c r="E14" s="33"/>
      <c r="F14" s="386"/>
      <c r="G14" s="387"/>
      <c r="H14" s="33"/>
      <c r="I14" s="33"/>
      <c r="J14" s="33"/>
      <c r="K14" s="33"/>
      <c r="L14" s="387"/>
      <c r="M14" s="33"/>
      <c r="N14" s="33"/>
    </row>
    <row r="15" ht="15.0" customHeight="1">
      <c r="A15" s="33"/>
      <c r="B15" s="33"/>
      <c r="C15" s="33"/>
      <c r="D15" s="33"/>
      <c r="E15" s="33"/>
      <c r="F15" s="388"/>
      <c r="G15" s="33"/>
      <c r="H15" s="33"/>
      <c r="I15" s="33"/>
      <c r="J15" s="389"/>
      <c r="K15" s="33"/>
      <c r="L15" s="33"/>
      <c r="M15" s="33"/>
      <c r="N15" s="388"/>
    </row>
    <row r="16" ht="15.0" customHeight="1">
      <c r="A16" s="33"/>
      <c r="B16" s="33"/>
      <c r="C16" s="385"/>
      <c r="D16" s="33"/>
      <c r="E16" s="33"/>
      <c r="F16" s="388"/>
      <c r="G16" s="33"/>
      <c r="H16" s="33"/>
      <c r="I16" s="33"/>
      <c r="J16" s="33"/>
      <c r="K16" s="33"/>
      <c r="L16" s="33"/>
      <c r="M16" s="33"/>
      <c r="N16" s="33"/>
    </row>
    <row r="17" ht="15.0" customHeight="1">
      <c r="A17" s="33"/>
      <c r="B17" s="33"/>
      <c r="C17" s="33"/>
      <c r="D17" s="385"/>
      <c r="E17" s="33"/>
      <c r="F17" s="388"/>
      <c r="G17" s="33"/>
      <c r="H17" s="33"/>
      <c r="I17" s="33"/>
      <c r="J17" s="33"/>
      <c r="K17" s="33"/>
      <c r="L17" s="33"/>
      <c r="M17" s="33"/>
      <c r="N17" s="33"/>
    </row>
    <row r="18" ht="15.0" customHeight="1">
      <c r="A18" s="33"/>
      <c r="B18" s="33"/>
      <c r="C18" s="33"/>
      <c r="D18" s="385"/>
      <c r="E18" s="33"/>
      <c r="F18" s="388"/>
      <c r="G18" s="33"/>
      <c r="H18" s="33"/>
      <c r="I18" s="33"/>
      <c r="J18" s="33"/>
      <c r="K18" s="33"/>
      <c r="L18" s="33"/>
      <c r="M18" s="33"/>
      <c r="N18" s="33"/>
    </row>
    <row r="19" ht="15.0" customHeight="1">
      <c r="A19" s="33"/>
      <c r="B19" s="33"/>
      <c r="C19" s="33"/>
      <c r="D19" s="385"/>
      <c r="E19" s="33"/>
      <c r="F19" s="388"/>
      <c r="G19" s="33"/>
      <c r="H19" s="33"/>
      <c r="I19" s="33"/>
      <c r="J19" s="33"/>
      <c r="K19" s="33"/>
      <c r="L19" s="33"/>
      <c r="M19" s="33"/>
      <c r="N19" s="33"/>
    </row>
    <row r="20" ht="15.0" customHeight="1">
      <c r="A20" s="33"/>
      <c r="B20" s="33"/>
      <c r="C20" s="33"/>
      <c r="D20" s="385"/>
      <c r="E20" s="33"/>
      <c r="F20" s="388"/>
      <c r="G20" s="33"/>
      <c r="H20" s="33"/>
      <c r="I20" s="33"/>
      <c r="J20" s="33"/>
      <c r="K20" s="33"/>
      <c r="L20" s="33"/>
      <c r="M20" s="33"/>
      <c r="N20" s="33"/>
    </row>
    <row r="21" ht="15.0" customHeight="1">
      <c r="A21" s="33"/>
      <c r="B21" s="33"/>
      <c r="C21" s="33"/>
      <c r="D21" s="385"/>
      <c r="E21" s="33"/>
      <c r="F21" s="388"/>
      <c r="G21" s="33"/>
      <c r="H21" s="33"/>
      <c r="I21" s="33"/>
      <c r="J21" s="33"/>
      <c r="K21" s="33"/>
      <c r="L21" s="33"/>
      <c r="M21" s="33"/>
      <c r="N21" s="33"/>
    </row>
    <row r="22" ht="15.0" customHeight="1">
      <c r="A22" s="33"/>
      <c r="B22" s="33"/>
      <c r="C22" s="33"/>
      <c r="D22" s="385"/>
      <c r="E22" s="33"/>
      <c r="F22" s="388"/>
      <c r="G22" s="33"/>
      <c r="H22" s="33"/>
      <c r="I22" s="33"/>
      <c r="J22" s="33"/>
      <c r="K22" s="33"/>
      <c r="L22" s="33"/>
      <c r="M22" s="33"/>
      <c r="N22" s="33"/>
    </row>
    <row r="23" ht="15.0" customHeight="1">
      <c r="A23" s="33"/>
      <c r="B23" s="33"/>
      <c r="C23" s="33"/>
      <c r="D23" s="385"/>
      <c r="E23" s="33"/>
      <c r="F23" s="388"/>
      <c r="G23" s="33"/>
      <c r="H23" s="33"/>
      <c r="I23" s="33"/>
      <c r="J23" s="33"/>
      <c r="K23" s="33"/>
      <c r="L23" s="33"/>
      <c r="M23" s="33"/>
      <c r="N23" s="33"/>
    </row>
    <row r="24" ht="15.0" customHeight="1">
      <c r="A24" s="33"/>
      <c r="B24" s="33"/>
      <c r="C24" s="33"/>
      <c r="D24" s="385"/>
      <c r="E24" s="33"/>
      <c r="F24" s="388"/>
      <c r="G24" s="33"/>
      <c r="H24" s="33"/>
      <c r="I24" s="33"/>
      <c r="J24" s="388"/>
      <c r="K24" s="33"/>
      <c r="L24" s="33"/>
      <c r="M24" s="33"/>
      <c r="N24" s="388"/>
    </row>
    <row r="25" ht="15.0" customHeight="1">
      <c r="A25" s="33"/>
      <c r="B25" s="33"/>
      <c r="C25" s="33"/>
      <c r="D25" s="385"/>
      <c r="E25" s="33"/>
      <c r="F25" s="388"/>
      <c r="G25" s="33"/>
      <c r="H25" s="33"/>
      <c r="I25" s="33"/>
      <c r="J25" s="388"/>
      <c r="K25" s="33"/>
      <c r="L25" s="33"/>
      <c r="M25" s="33"/>
      <c r="N25" s="388"/>
    </row>
    <row r="26" ht="15.0" customHeight="1">
      <c r="A26" s="33"/>
      <c r="B26" s="33"/>
      <c r="C26" s="33"/>
      <c r="D26" s="385"/>
      <c r="E26" s="33"/>
      <c r="F26" s="33"/>
      <c r="G26" s="33"/>
      <c r="H26" s="33"/>
      <c r="I26" s="33"/>
      <c r="J26" s="33"/>
      <c r="K26" s="33"/>
      <c r="L26" s="33"/>
      <c r="M26" s="33"/>
      <c r="N26" s="33"/>
    </row>
    <row r="27" ht="15.0" customHeight="1">
      <c r="A27" s="33"/>
      <c r="B27" s="33"/>
      <c r="C27" s="33"/>
      <c r="D27" s="385"/>
      <c r="E27" s="33"/>
      <c r="F27" s="33"/>
      <c r="G27" s="33"/>
      <c r="H27" s="33"/>
      <c r="I27" s="33"/>
      <c r="J27" s="33"/>
      <c r="K27" s="33"/>
      <c r="L27" s="33"/>
      <c r="M27" s="33"/>
      <c r="N27" s="33"/>
    </row>
    <row r="28" ht="15.0" customHeight="1">
      <c r="A28" s="33"/>
      <c r="B28" s="33"/>
      <c r="C28" s="33"/>
      <c r="D28" s="385"/>
      <c r="E28" s="33"/>
      <c r="F28" s="33"/>
      <c r="G28" s="33"/>
      <c r="H28" s="33"/>
      <c r="I28" s="33"/>
      <c r="J28" s="33"/>
      <c r="K28" s="33"/>
      <c r="L28" s="33"/>
      <c r="M28" s="33"/>
      <c r="N28" s="33"/>
    </row>
    <row r="29" ht="15.0" customHeight="1">
      <c r="A29" s="33"/>
      <c r="B29" s="33"/>
      <c r="C29" s="33"/>
      <c r="D29" s="385"/>
      <c r="E29" s="33"/>
      <c r="F29" s="33"/>
      <c r="G29" s="33"/>
      <c r="H29" s="33"/>
      <c r="I29" s="33"/>
      <c r="J29" s="33"/>
      <c r="K29" s="33"/>
      <c r="L29" s="33"/>
      <c r="M29" s="33"/>
      <c r="N29" s="33"/>
    </row>
    <row r="30" ht="15.0" customHeight="1">
      <c r="A30" s="33"/>
      <c r="B30" s="33"/>
      <c r="C30" s="33"/>
      <c r="D30" s="385"/>
      <c r="E30" s="33"/>
      <c r="F30" s="33"/>
      <c r="G30" s="33"/>
      <c r="H30" s="33"/>
      <c r="I30" s="33"/>
      <c r="J30" s="33"/>
      <c r="K30" s="33"/>
      <c r="L30" s="33"/>
      <c r="M30" s="33"/>
      <c r="N30" s="33"/>
    </row>
    <row r="31" ht="15.0" customHeight="1">
      <c r="A31" s="33"/>
      <c r="B31" s="33"/>
      <c r="C31" s="33"/>
      <c r="D31" s="385"/>
      <c r="E31" s="33"/>
      <c r="F31" s="33"/>
      <c r="G31" s="33"/>
      <c r="H31" s="33"/>
      <c r="I31" s="33"/>
      <c r="J31" s="33"/>
      <c r="K31" s="33"/>
      <c r="L31" s="33"/>
      <c r="M31" s="33"/>
      <c r="N31" s="33"/>
    </row>
    <row r="32" ht="15.0" customHeight="1">
      <c r="A32" s="33"/>
      <c r="B32" s="33"/>
      <c r="C32" s="33"/>
      <c r="D32" s="385"/>
      <c r="E32" s="33"/>
      <c r="F32" s="33"/>
      <c r="G32" s="33"/>
      <c r="H32" s="33"/>
      <c r="I32" s="33"/>
      <c r="J32" s="33"/>
      <c r="K32" s="33"/>
      <c r="L32" s="33"/>
      <c r="M32" s="33"/>
      <c r="N32" s="33"/>
    </row>
    <row r="33" ht="15.0" customHeight="1">
      <c r="A33" s="33"/>
      <c r="B33" s="33"/>
      <c r="C33" s="33"/>
      <c r="D33" s="385"/>
      <c r="E33" s="33"/>
      <c r="F33" s="33"/>
      <c r="G33" s="33"/>
      <c r="H33" s="33"/>
      <c r="I33" s="33"/>
      <c r="J33" s="33"/>
      <c r="K33" s="33"/>
      <c r="L33" s="33"/>
      <c r="M33" s="33"/>
      <c r="N33" s="33"/>
    </row>
    <row r="34" ht="15.0" customHeight="1">
      <c r="A34" s="33"/>
      <c r="B34" s="33"/>
      <c r="C34" s="33"/>
      <c r="D34" s="385"/>
      <c r="E34" s="33"/>
      <c r="F34" s="33"/>
      <c r="G34" s="33"/>
      <c r="H34" s="33"/>
      <c r="I34" s="33"/>
      <c r="J34" s="33"/>
      <c r="K34" s="33"/>
      <c r="L34" s="33"/>
      <c r="M34" s="33"/>
      <c r="N34" s="33"/>
    </row>
    <row r="35" ht="15.0" customHeight="1">
      <c r="A35" s="33"/>
      <c r="B35" s="33"/>
      <c r="C35" s="33"/>
      <c r="D35" s="385"/>
      <c r="E35" s="33"/>
      <c r="F35" s="33"/>
      <c r="G35" s="33"/>
      <c r="H35" s="33"/>
      <c r="I35" s="33"/>
      <c r="J35" s="33"/>
      <c r="K35" s="33"/>
      <c r="L35" s="33"/>
      <c r="M35" s="33"/>
      <c r="N35" s="33"/>
    </row>
    <row r="36" ht="15.0" customHeight="1">
      <c r="A36" s="33"/>
      <c r="B36" s="33"/>
      <c r="C36" s="33"/>
      <c r="D36" s="385"/>
      <c r="E36" s="33"/>
      <c r="F36" s="33"/>
      <c r="G36" s="33"/>
      <c r="H36" s="33"/>
      <c r="I36" s="33"/>
      <c r="J36" s="33"/>
      <c r="K36" s="33"/>
      <c r="L36" s="33"/>
      <c r="M36" s="33"/>
      <c r="N36" s="33"/>
    </row>
    <row r="37" ht="15.0" customHeight="1">
      <c r="A37" s="33"/>
      <c r="B37" s="33"/>
      <c r="C37" s="33"/>
      <c r="D37" s="385"/>
      <c r="E37" s="33"/>
      <c r="F37" s="33"/>
      <c r="G37" s="33"/>
      <c r="H37" s="33"/>
      <c r="I37" s="33"/>
      <c r="J37" s="33"/>
      <c r="K37" s="33"/>
      <c r="L37" s="33"/>
      <c r="M37" s="33"/>
      <c r="N37" s="33"/>
    </row>
    <row r="38" ht="15.0" customHeight="1">
      <c r="A38" s="33"/>
      <c r="B38" s="33"/>
      <c r="C38" s="33"/>
      <c r="D38" s="385"/>
      <c r="E38" s="33"/>
      <c r="F38" s="33"/>
      <c r="G38" s="33"/>
      <c r="H38" s="33"/>
      <c r="I38" s="33"/>
      <c r="J38" s="33"/>
      <c r="K38" s="385"/>
      <c r="L38" s="385"/>
      <c r="M38" s="33"/>
      <c r="N38" s="33"/>
    </row>
    <row r="39" ht="15.0" customHeight="1">
      <c r="A39" s="33"/>
      <c r="B39" s="33"/>
      <c r="C39" s="33"/>
      <c r="D39" s="385"/>
      <c r="E39" s="33"/>
      <c r="F39" s="33"/>
      <c r="G39" s="33"/>
      <c r="H39" s="33"/>
      <c r="I39" s="33"/>
      <c r="J39" s="33"/>
      <c r="K39" s="33"/>
      <c r="L39" s="33"/>
      <c r="M39" s="385"/>
      <c r="N39" s="385"/>
    </row>
    <row r="40" ht="15.0" customHeight="1">
      <c r="A40" s="33"/>
      <c r="B40" s="33"/>
      <c r="C40" s="33"/>
      <c r="D40" s="385"/>
      <c r="E40" s="33"/>
      <c r="F40" s="33"/>
      <c r="G40" s="33"/>
      <c r="H40" s="33"/>
      <c r="I40" s="33"/>
      <c r="J40" s="33"/>
      <c r="K40" s="33"/>
      <c r="L40" s="33"/>
      <c r="M40" s="33"/>
      <c r="N40" s="33"/>
    </row>
    <row r="41" ht="15.0" customHeight="1">
      <c r="A41" s="33"/>
      <c r="B41" s="33"/>
      <c r="C41" s="33"/>
      <c r="D41" s="385"/>
      <c r="E41" s="33"/>
      <c r="F41" s="33"/>
      <c r="G41" s="33"/>
      <c r="H41" s="33"/>
      <c r="I41" s="33"/>
      <c r="J41" s="33"/>
      <c r="K41" s="33"/>
      <c r="L41" s="33"/>
      <c r="M41" s="33"/>
      <c r="N41" s="33"/>
    </row>
    <row r="42" ht="15.0" customHeight="1">
      <c r="A42" s="33"/>
      <c r="B42" s="33"/>
      <c r="C42" s="33"/>
      <c r="D42" s="385"/>
      <c r="E42" s="33"/>
      <c r="F42" s="33"/>
      <c r="G42" s="33"/>
      <c r="H42" s="33"/>
      <c r="I42" s="33"/>
      <c r="J42" s="33"/>
      <c r="K42" s="33"/>
      <c r="L42" s="33"/>
      <c r="M42" s="33"/>
      <c r="N42" s="33"/>
    </row>
    <row r="43" ht="15.0" customHeight="1">
      <c r="A43" s="33"/>
      <c r="B43" s="33"/>
      <c r="C43" s="33"/>
      <c r="D43" s="385"/>
      <c r="E43" s="33"/>
      <c r="F43" s="33"/>
      <c r="G43" s="33"/>
      <c r="H43" s="33"/>
      <c r="I43" s="33"/>
      <c r="J43" s="33"/>
      <c r="K43" s="33"/>
      <c r="L43" s="33"/>
      <c r="M43" s="33"/>
      <c r="N43" s="33"/>
    </row>
    <row r="44" ht="15.0" customHeight="1">
      <c r="A44" s="33"/>
      <c r="B44" s="33"/>
      <c r="C44" s="33"/>
      <c r="D44" s="33"/>
      <c r="E44" s="385"/>
      <c r="F44" s="385"/>
      <c r="G44" s="385"/>
      <c r="H44" s="33"/>
      <c r="I44" s="33"/>
      <c r="J44" s="33"/>
      <c r="K44" s="385"/>
      <c r="L44" s="385"/>
      <c r="M44" s="385"/>
      <c r="N44" s="33"/>
    </row>
    <row r="45" ht="15.0" customHeight="1">
      <c r="A45" s="33"/>
      <c r="B45" s="33"/>
      <c r="C45" s="33"/>
      <c r="D45" s="33"/>
      <c r="E45" s="385"/>
      <c r="F45" s="33"/>
      <c r="G45" s="33"/>
      <c r="H45" s="33"/>
      <c r="I45" s="33"/>
      <c r="J45" s="33"/>
      <c r="K45" s="385"/>
      <c r="L45" s="33"/>
      <c r="M45" s="33"/>
      <c r="N45" s="33"/>
    </row>
    <row r="46" ht="15.0" customHeight="1">
      <c r="A46" s="33"/>
      <c r="B46" s="33"/>
      <c r="C46" s="33"/>
      <c r="D46" s="33"/>
      <c r="E46" s="385"/>
      <c r="F46" s="385"/>
      <c r="G46" s="385"/>
      <c r="H46" s="385"/>
      <c r="I46" s="385"/>
      <c r="J46" s="385"/>
      <c r="K46" s="385"/>
      <c r="L46" s="385"/>
      <c r="M46" s="385"/>
      <c r="N46" s="385"/>
    </row>
    <row r="47" ht="15.0" customHeight="1">
      <c r="A47" s="33"/>
      <c r="B47" s="33"/>
      <c r="C47" s="33"/>
      <c r="D47" s="33"/>
      <c r="E47" s="33"/>
      <c r="F47" s="33"/>
      <c r="G47" s="385"/>
      <c r="H47" s="33"/>
      <c r="I47" s="385"/>
      <c r="J47" s="33"/>
      <c r="K47" s="385"/>
      <c r="L47" s="33"/>
      <c r="M47" s="385"/>
      <c r="N47" s="33"/>
    </row>
    <row r="48" ht="12.75" customHeight="1">
      <c r="A48" s="390"/>
      <c r="B48" s="391"/>
      <c r="C48" s="391"/>
      <c r="D48" s="391"/>
      <c r="E48" s="159"/>
      <c r="F48" s="159"/>
      <c r="G48" s="159"/>
      <c r="H48" s="159"/>
      <c r="I48" s="159"/>
      <c r="J48" s="159"/>
      <c r="K48" s="159"/>
      <c r="L48" s="159"/>
      <c r="M48" s="159"/>
      <c r="N48" s="159"/>
    </row>
    <row r="49" ht="12.75" customHeight="1">
      <c r="A49" s="390"/>
      <c r="B49" s="391"/>
      <c r="C49" s="391"/>
      <c r="D49" s="391"/>
      <c r="E49" s="159"/>
      <c r="F49" s="159"/>
      <c r="G49" s="159"/>
      <c r="H49" s="159"/>
      <c r="I49" s="159"/>
      <c r="J49" s="159"/>
      <c r="K49" s="159"/>
      <c r="L49" s="159"/>
      <c r="M49" s="159"/>
      <c r="N49" s="159"/>
    </row>
    <row r="50" ht="12.75" customHeight="1">
      <c r="A50" s="390"/>
      <c r="B50" s="391"/>
      <c r="C50" s="391"/>
      <c r="D50" s="391"/>
      <c r="E50" s="159"/>
      <c r="F50" s="159"/>
      <c r="G50" s="159"/>
      <c r="H50" s="159"/>
      <c r="I50" s="159"/>
      <c r="J50" s="159"/>
      <c r="K50" s="159"/>
      <c r="L50" s="159"/>
      <c r="M50" s="159"/>
      <c r="N50" s="159"/>
    </row>
    <row r="51" ht="15.75" customHeight="1">
      <c r="A51" s="392" t="s">
        <v>249</v>
      </c>
      <c r="B51" s="276"/>
      <c r="C51" s="276"/>
      <c r="D51" s="276"/>
      <c r="E51" s="276"/>
      <c r="F51" s="276"/>
      <c r="G51" s="276"/>
      <c r="H51" s="276"/>
      <c r="I51" s="276"/>
      <c r="J51" s="276"/>
      <c r="K51" s="276"/>
      <c r="L51" s="276"/>
      <c r="M51" s="276"/>
      <c r="N51" s="277"/>
      <c r="O51" s="5"/>
    </row>
    <row r="52" ht="15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ht="15.75" customHeight="1">
      <c r="A53" s="41"/>
      <c r="B53" s="146" t="s">
        <v>60</v>
      </c>
      <c r="C53" s="49">
        <v>1.0</v>
      </c>
      <c r="D53" s="49">
        <v>2.0</v>
      </c>
      <c r="E53" s="49">
        <v>3.0</v>
      </c>
      <c r="F53" s="49">
        <v>4.0</v>
      </c>
      <c r="G53" s="49">
        <v>5.0</v>
      </c>
      <c r="H53" s="49">
        <v>6.0</v>
      </c>
      <c r="I53" s="49">
        <v>7.0</v>
      </c>
      <c r="J53" s="49">
        <v>8.0</v>
      </c>
      <c r="K53" s="49">
        <v>9.0</v>
      </c>
      <c r="L53" s="49">
        <v>10.0</v>
      </c>
      <c r="M53" s="49">
        <v>11.0</v>
      </c>
      <c r="N53" s="49">
        <v>12.0</v>
      </c>
      <c r="O53" s="5"/>
    </row>
    <row r="54" ht="15.75" customHeight="1">
      <c r="A54" s="33"/>
      <c r="B54" s="130"/>
      <c r="C54" s="393"/>
      <c r="D54" s="393"/>
      <c r="E54" s="393"/>
      <c r="F54" s="393"/>
      <c r="G54" s="393"/>
      <c r="H54" s="393"/>
      <c r="I54" s="393"/>
      <c r="J54" s="393"/>
      <c r="K54" s="394"/>
      <c r="L54" s="393"/>
      <c r="M54" s="393"/>
      <c r="N54" s="393"/>
      <c r="O54" s="5"/>
    </row>
    <row r="55" ht="15.0" customHeight="1">
      <c r="A55" s="33"/>
      <c r="B55" s="333"/>
      <c r="C55" s="33"/>
      <c r="D55" s="385"/>
      <c r="E55" s="33"/>
      <c r="F55" s="33"/>
      <c r="G55" s="33"/>
      <c r="H55" s="33"/>
      <c r="I55" s="33"/>
      <c r="J55" s="385"/>
      <c r="K55" s="31"/>
      <c r="L55" s="33"/>
      <c r="M55" s="33"/>
      <c r="N55" s="33"/>
      <c r="O55" s="5"/>
    </row>
    <row r="56" ht="15.0" customHeight="1">
      <c r="A56" s="33"/>
      <c r="B56" s="299"/>
      <c r="C56" s="385"/>
      <c r="D56" s="33"/>
      <c r="E56" s="33"/>
      <c r="F56" s="33"/>
      <c r="G56" s="33"/>
      <c r="H56" s="33"/>
      <c r="I56" s="33"/>
      <c r="J56" s="33"/>
      <c r="K56" s="31"/>
      <c r="L56" s="33"/>
      <c r="M56" s="33"/>
      <c r="N56" s="33"/>
      <c r="O56" s="5"/>
    </row>
    <row r="57" ht="15.0" customHeight="1">
      <c r="A57" s="33"/>
      <c r="B57" s="395"/>
      <c r="C57" s="33"/>
      <c r="D57" s="33"/>
      <c r="E57" s="385"/>
      <c r="F57" s="389"/>
      <c r="G57" s="33"/>
      <c r="H57" s="33"/>
      <c r="I57" s="33"/>
      <c r="J57" s="33"/>
      <c r="K57" s="31"/>
      <c r="L57" s="33"/>
      <c r="M57" s="33"/>
      <c r="N57" s="33"/>
      <c r="O57" s="5"/>
    </row>
    <row r="58" ht="15.0" customHeight="1">
      <c r="A58" s="33"/>
      <c r="B58" s="299"/>
      <c r="C58" s="33"/>
      <c r="D58" s="33"/>
      <c r="E58" s="33"/>
      <c r="F58" s="388"/>
      <c r="G58" s="385"/>
      <c r="H58" s="385"/>
      <c r="I58" s="385"/>
      <c r="J58" s="385"/>
      <c r="K58" s="31"/>
      <c r="L58" s="33"/>
      <c r="M58" s="385"/>
      <c r="N58" s="385"/>
      <c r="O58" s="5"/>
    </row>
    <row r="59" ht="15.0" customHeight="1">
      <c r="A59" s="33"/>
      <c r="B59" s="299"/>
      <c r="C59" s="33"/>
      <c r="D59" s="33"/>
      <c r="E59" s="385"/>
      <c r="F59" s="388"/>
      <c r="G59" s="33"/>
      <c r="H59" s="33"/>
      <c r="I59" s="33"/>
      <c r="J59" s="33"/>
      <c r="K59" s="396"/>
      <c r="L59" s="33"/>
      <c r="M59" s="33"/>
      <c r="N59" s="33"/>
      <c r="O59" s="5"/>
    </row>
    <row r="60" ht="15.0" customHeight="1">
      <c r="A60" s="33"/>
      <c r="B60" s="395"/>
      <c r="C60" s="33"/>
      <c r="D60" s="33"/>
      <c r="E60" s="385"/>
      <c r="F60" s="388"/>
      <c r="G60" s="33"/>
      <c r="H60" s="33"/>
      <c r="I60" s="33"/>
      <c r="J60" s="33"/>
      <c r="K60" s="396"/>
      <c r="L60" s="33"/>
      <c r="M60" s="33"/>
      <c r="N60" s="33"/>
      <c r="O60" s="5"/>
    </row>
    <row r="61" ht="15.0" customHeight="1">
      <c r="A61" s="33"/>
      <c r="B61" s="299"/>
      <c r="C61" s="33"/>
      <c r="D61" s="33"/>
      <c r="E61" s="385"/>
      <c r="F61" s="385"/>
      <c r="G61" s="385"/>
      <c r="H61" s="33"/>
      <c r="I61" s="33"/>
      <c r="J61" s="33"/>
      <c r="K61" s="396"/>
      <c r="L61" s="385"/>
      <c r="M61" s="385"/>
      <c r="N61" s="33"/>
      <c r="O61" s="5"/>
    </row>
    <row r="62" ht="15.0" customHeight="1">
      <c r="A62" s="33"/>
      <c r="B62" s="299"/>
      <c r="C62" s="33"/>
      <c r="D62" s="33"/>
      <c r="E62" s="385"/>
      <c r="F62" s="33"/>
      <c r="G62" s="33"/>
      <c r="H62" s="33"/>
      <c r="I62" s="33"/>
      <c r="J62" s="33"/>
      <c r="K62" s="396"/>
      <c r="L62" s="33"/>
      <c r="M62" s="33"/>
      <c r="N62" s="33"/>
      <c r="O62" s="5"/>
    </row>
    <row r="63" ht="15.0" customHeight="1">
      <c r="A63" s="33"/>
      <c r="B63" s="299"/>
      <c r="C63" s="385"/>
      <c r="D63" s="385"/>
      <c r="E63" s="385"/>
      <c r="F63" s="385"/>
      <c r="G63" s="385"/>
      <c r="H63" s="385"/>
      <c r="I63" s="385"/>
      <c r="J63" s="385"/>
      <c r="K63" s="396"/>
      <c r="L63" s="385"/>
      <c r="M63" s="385"/>
      <c r="N63" s="385"/>
      <c r="O63" s="5"/>
    </row>
    <row r="64" ht="15.0" customHeight="1">
      <c r="A64" s="33"/>
      <c r="B64" s="299"/>
      <c r="C64" s="385"/>
      <c r="D64" s="33"/>
      <c r="E64" s="385"/>
      <c r="F64" s="33"/>
      <c r="G64" s="385"/>
      <c r="H64" s="33"/>
      <c r="I64" s="385"/>
      <c r="J64" s="33"/>
      <c r="K64" s="396"/>
      <c r="L64" s="33"/>
      <c r="M64" s="385"/>
      <c r="N64" s="33"/>
      <c r="O64" s="5"/>
    </row>
    <row r="65" ht="15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ht="15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ht="15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ht="15.75" customHeight="1">
      <c r="A68" s="392" t="s">
        <v>250</v>
      </c>
      <c r="B68" s="276"/>
      <c r="C68" s="276"/>
      <c r="D68" s="276"/>
      <c r="E68" s="276"/>
      <c r="F68" s="276"/>
      <c r="G68" s="276"/>
      <c r="H68" s="276"/>
      <c r="I68" s="276"/>
      <c r="J68" s="276"/>
      <c r="K68" s="276"/>
      <c r="L68" s="276"/>
      <c r="M68" s="276"/>
      <c r="N68" s="277"/>
      <c r="O68" s="5"/>
    </row>
    <row r="69" ht="15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ht="15.75" customHeight="1">
      <c r="A70" s="195"/>
      <c r="B70" s="397" t="s">
        <v>60</v>
      </c>
      <c r="C70" s="49">
        <v>1.0</v>
      </c>
      <c r="D70" s="49">
        <v>2.0</v>
      </c>
      <c r="E70" s="49">
        <v>3.0</v>
      </c>
      <c r="F70" s="49">
        <v>4.0</v>
      </c>
      <c r="G70" s="49">
        <v>5.0</v>
      </c>
      <c r="H70" s="49">
        <v>6.0</v>
      </c>
      <c r="I70" s="49">
        <v>7.0</v>
      </c>
      <c r="J70" s="49">
        <v>8.0</v>
      </c>
      <c r="K70" s="49">
        <v>9.0</v>
      </c>
      <c r="L70" s="49">
        <v>10.0</v>
      </c>
      <c r="M70" s="49">
        <v>11.0</v>
      </c>
      <c r="N70" s="49">
        <v>12.0</v>
      </c>
      <c r="O70" s="5"/>
    </row>
    <row r="71" ht="15.75" customHeight="1">
      <c r="A71" s="33"/>
      <c r="B71" s="130"/>
      <c r="C71" s="393"/>
      <c r="D71" s="393"/>
      <c r="E71" s="393"/>
      <c r="F71" s="393"/>
      <c r="G71" s="393"/>
      <c r="H71" s="393"/>
      <c r="I71" s="393"/>
      <c r="J71" s="393"/>
      <c r="K71" s="394"/>
      <c r="L71" s="393"/>
      <c r="M71" s="393"/>
      <c r="N71" s="393"/>
      <c r="O71" s="5"/>
    </row>
    <row r="72" ht="15.0" customHeight="1">
      <c r="A72" s="33"/>
      <c r="B72" s="333"/>
      <c r="C72" s="33"/>
      <c r="D72" s="385"/>
      <c r="E72" s="33"/>
      <c r="F72" s="33"/>
      <c r="G72" s="33"/>
      <c r="H72" s="33"/>
      <c r="I72" s="33"/>
      <c r="J72" s="385"/>
      <c r="K72" s="31"/>
      <c r="L72" s="33"/>
      <c r="M72" s="33"/>
      <c r="N72" s="33"/>
      <c r="O72" s="5"/>
    </row>
    <row r="73" ht="15.0" customHeight="1">
      <c r="A73" s="33"/>
      <c r="B73" s="299"/>
      <c r="C73" s="385"/>
      <c r="D73" s="33"/>
      <c r="E73" s="33"/>
      <c r="F73" s="33"/>
      <c r="G73" s="33"/>
      <c r="H73" s="33"/>
      <c r="I73" s="33"/>
      <c r="J73" s="33"/>
      <c r="K73" s="31"/>
      <c r="L73" s="33"/>
      <c r="M73" s="33"/>
      <c r="N73" s="33"/>
      <c r="O73" s="5"/>
    </row>
    <row r="74" ht="15.0" customHeight="1">
      <c r="A74" s="33"/>
      <c r="B74" s="395"/>
      <c r="C74" s="33"/>
      <c r="D74" s="33"/>
      <c r="E74" s="385"/>
      <c r="F74" s="389"/>
      <c r="G74" s="33"/>
      <c r="H74" s="33"/>
      <c r="I74" s="33"/>
      <c r="J74" s="33"/>
      <c r="K74" s="31"/>
      <c r="L74" s="33"/>
      <c r="M74" s="33"/>
      <c r="N74" s="33"/>
      <c r="O74" s="5"/>
    </row>
    <row r="75" ht="15.0" customHeight="1">
      <c r="A75" s="33"/>
      <c r="B75" s="299"/>
      <c r="C75" s="33"/>
      <c r="D75" s="33"/>
      <c r="E75" s="33"/>
      <c r="F75" s="388"/>
      <c r="G75" s="385"/>
      <c r="H75" s="385"/>
      <c r="I75" s="385"/>
      <c r="J75" s="385"/>
      <c r="K75" s="31"/>
      <c r="L75" s="33"/>
      <c r="M75" s="385"/>
      <c r="N75" s="385"/>
      <c r="O75" s="5"/>
    </row>
    <row r="76" ht="15.0" customHeight="1">
      <c r="A76" s="33"/>
      <c r="B76" s="299"/>
      <c r="C76" s="33"/>
      <c r="D76" s="33"/>
      <c r="E76" s="385"/>
      <c r="F76" s="388"/>
      <c r="G76" s="33"/>
      <c r="H76" s="33"/>
      <c r="I76" s="33"/>
      <c r="J76" s="33"/>
      <c r="K76" s="396"/>
      <c r="L76" s="33"/>
      <c r="M76" s="33"/>
      <c r="N76" s="33"/>
      <c r="O76" s="5"/>
    </row>
    <row r="77" ht="15.0" customHeight="1">
      <c r="A77" s="33"/>
      <c r="B77" s="395"/>
      <c r="C77" s="33"/>
      <c r="D77" s="33"/>
      <c r="E77" s="385"/>
      <c r="F77" s="388"/>
      <c r="G77" s="33"/>
      <c r="H77" s="33"/>
      <c r="I77" s="33"/>
      <c r="J77" s="33"/>
      <c r="K77" s="396"/>
      <c r="L77" s="33"/>
      <c r="M77" s="33"/>
      <c r="N77" s="33"/>
      <c r="O77" s="5"/>
    </row>
    <row r="78" ht="15.0" customHeight="1">
      <c r="A78" s="33"/>
      <c r="B78" s="299"/>
      <c r="C78" s="33"/>
      <c r="D78" s="33"/>
      <c r="E78" s="385"/>
      <c r="F78" s="385"/>
      <c r="G78" s="385"/>
      <c r="H78" s="33"/>
      <c r="I78" s="33"/>
      <c r="J78" s="33"/>
      <c r="K78" s="396"/>
      <c r="L78" s="385"/>
      <c r="M78" s="385"/>
      <c r="N78" s="33"/>
      <c r="O78" s="5"/>
    </row>
    <row r="79" ht="15.0" customHeight="1">
      <c r="A79" s="33"/>
      <c r="B79" s="299"/>
      <c r="C79" s="33"/>
      <c r="D79" s="33"/>
      <c r="E79" s="385"/>
      <c r="F79" s="33"/>
      <c r="G79" s="33"/>
      <c r="H79" s="33"/>
      <c r="I79" s="33"/>
      <c r="J79" s="33"/>
      <c r="K79" s="396"/>
      <c r="L79" s="33"/>
      <c r="M79" s="33"/>
      <c r="N79" s="33"/>
      <c r="O79" s="5"/>
    </row>
    <row r="80" ht="15.0" customHeight="1">
      <c r="A80" s="33"/>
      <c r="B80" s="299"/>
      <c r="C80" s="385"/>
      <c r="D80" s="385"/>
      <c r="E80" s="385"/>
      <c r="F80" s="385"/>
      <c r="G80" s="385"/>
      <c r="H80" s="385"/>
      <c r="I80" s="385"/>
      <c r="J80" s="385"/>
      <c r="K80" s="396"/>
      <c r="L80" s="385"/>
      <c r="M80" s="385"/>
      <c r="N80" s="385"/>
      <c r="O80" s="5"/>
    </row>
    <row r="81" ht="15.0" customHeight="1">
      <c r="A81" s="33"/>
      <c r="B81" s="299"/>
      <c r="C81" s="385"/>
      <c r="D81" s="33"/>
      <c r="E81" s="385"/>
      <c r="F81" s="33"/>
      <c r="G81" s="385"/>
      <c r="H81" s="33"/>
      <c r="I81" s="385"/>
      <c r="J81" s="33"/>
      <c r="K81" s="396"/>
      <c r="L81" s="33"/>
      <c r="M81" s="385"/>
      <c r="N81" s="33"/>
      <c r="O81" s="5"/>
    </row>
    <row r="82" ht="15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 ht="15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ht="15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 ht="15.75" customHeight="1">
      <c r="A85" s="392" t="s">
        <v>251</v>
      </c>
      <c r="B85" s="276"/>
      <c r="C85" s="276"/>
      <c r="D85" s="276"/>
      <c r="E85" s="276"/>
      <c r="F85" s="276"/>
      <c r="G85" s="276"/>
      <c r="H85" s="276"/>
      <c r="I85" s="276"/>
      <c r="J85" s="276"/>
      <c r="K85" s="276"/>
      <c r="L85" s="276"/>
      <c r="M85" s="276"/>
      <c r="N85" s="277"/>
      <c r="O85" s="5"/>
    </row>
    <row r="86" ht="15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 ht="15.75" customHeight="1">
      <c r="A87" s="195"/>
      <c r="B87" s="132" t="s">
        <v>60</v>
      </c>
      <c r="C87" s="49">
        <v>1.0</v>
      </c>
      <c r="D87" s="49">
        <v>2.0</v>
      </c>
      <c r="E87" s="49">
        <v>3.0</v>
      </c>
      <c r="F87" s="49">
        <v>4.0</v>
      </c>
      <c r="G87" s="49">
        <v>5.0</v>
      </c>
      <c r="H87" s="49">
        <v>6.0</v>
      </c>
      <c r="I87" s="49">
        <v>7.0</v>
      </c>
      <c r="J87" s="49">
        <v>8.0</v>
      </c>
      <c r="K87" s="49">
        <v>9.0</v>
      </c>
      <c r="L87" s="49">
        <v>10.0</v>
      </c>
      <c r="M87" s="49">
        <v>11.0</v>
      </c>
      <c r="N87" s="49">
        <v>12.0</v>
      </c>
      <c r="O87" s="5"/>
    </row>
    <row r="88" ht="15.75" customHeight="1">
      <c r="A88" s="33"/>
      <c r="B88" s="130"/>
      <c r="C88" s="393"/>
      <c r="D88" s="393"/>
      <c r="E88" s="393"/>
      <c r="F88" s="393"/>
      <c r="G88" s="393"/>
      <c r="H88" s="393"/>
      <c r="I88" s="393"/>
      <c r="J88" s="393"/>
      <c r="K88" s="394"/>
      <c r="L88" s="393"/>
      <c r="M88" s="393"/>
      <c r="N88" s="393"/>
      <c r="O88" s="5"/>
    </row>
    <row r="89" ht="15.0" customHeight="1">
      <c r="A89" s="33"/>
      <c r="B89" s="333"/>
      <c r="C89" s="33"/>
      <c r="D89" s="385"/>
      <c r="E89" s="33"/>
      <c r="F89" s="33"/>
      <c r="G89" s="33"/>
      <c r="H89" s="33"/>
      <c r="I89" s="33"/>
      <c r="J89" s="385"/>
      <c r="K89" s="31"/>
      <c r="L89" s="33"/>
      <c r="M89" s="33"/>
      <c r="N89" s="33"/>
      <c r="O89" s="5"/>
    </row>
    <row r="90" ht="15.0" customHeight="1">
      <c r="A90" s="33"/>
      <c r="B90" s="299"/>
      <c r="C90" s="385"/>
      <c r="D90" s="33"/>
      <c r="E90" s="33"/>
      <c r="F90" s="33"/>
      <c r="G90" s="33"/>
      <c r="H90" s="33"/>
      <c r="I90" s="33"/>
      <c r="J90" s="33"/>
      <c r="K90" s="31"/>
      <c r="L90" s="33"/>
      <c r="M90" s="33"/>
      <c r="N90" s="33"/>
      <c r="O90" s="5"/>
    </row>
    <row r="91" ht="15.0" customHeight="1">
      <c r="A91" s="33"/>
      <c r="B91" s="395"/>
      <c r="C91" s="33"/>
      <c r="D91" s="33"/>
      <c r="E91" s="385"/>
      <c r="F91" s="389"/>
      <c r="G91" s="33"/>
      <c r="H91" s="33"/>
      <c r="I91" s="33"/>
      <c r="J91" s="33"/>
      <c r="K91" s="31"/>
      <c r="L91" s="33"/>
      <c r="M91" s="33"/>
      <c r="N91" s="33"/>
      <c r="O91" s="5"/>
    </row>
    <row r="92" ht="15.0" customHeight="1">
      <c r="A92" s="33"/>
      <c r="B92" s="299"/>
      <c r="C92" s="33"/>
      <c r="D92" s="33"/>
      <c r="E92" s="33"/>
      <c r="F92" s="388"/>
      <c r="G92" s="385"/>
      <c r="H92" s="385"/>
      <c r="I92" s="385"/>
      <c r="J92" s="385"/>
      <c r="K92" s="31"/>
      <c r="L92" s="33"/>
      <c r="M92" s="385"/>
      <c r="N92" s="385"/>
      <c r="O92" s="5"/>
    </row>
    <row r="93" ht="15.0" customHeight="1">
      <c r="A93" s="33"/>
      <c r="B93" s="299"/>
      <c r="C93" s="33"/>
      <c r="D93" s="33"/>
      <c r="E93" s="385"/>
      <c r="F93" s="388"/>
      <c r="G93" s="33"/>
      <c r="H93" s="33"/>
      <c r="I93" s="33"/>
      <c r="J93" s="33"/>
      <c r="K93" s="396"/>
      <c r="L93" s="33"/>
      <c r="M93" s="33"/>
      <c r="N93" s="33"/>
      <c r="O93" s="5"/>
    </row>
    <row r="94" ht="15.0" customHeight="1">
      <c r="A94" s="33"/>
      <c r="B94" s="395"/>
      <c r="C94" s="33"/>
      <c r="D94" s="33"/>
      <c r="E94" s="385"/>
      <c r="F94" s="388"/>
      <c r="G94" s="33"/>
      <c r="H94" s="33"/>
      <c r="I94" s="33"/>
      <c r="J94" s="33"/>
      <c r="K94" s="396"/>
      <c r="L94" s="33"/>
      <c r="M94" s="33"/>
      <c r="N94" s="33"/>
      <c r="O94" s="5"/>
    </row>
    <row r="95" ht="15.0" customHeight="1">
      <c r="A95" s="33"/>
      <c r="B95" s="299"/>
      <c r="C95" s="33"/>
      <c r="D95" s="33"/>
      <c r="E95" s="385"/>
      <c r="F95" s="385"/>
      <c r="G95" s="385"/>
      <c r="H95" s="33"/>
      <c r="I95" s="33"/>
      <c r="J95" s="33"/>
      <c r="K95" s="396"/>
      <c r="L95" s="385"/>
      <c r="M95" s="385"/>
      <c r="N95" s="33"/>
      <c r="O95" s="5"/>
    </row>
    <row r="96" ht="15.0" customHeight="1">
      <c r="A96" s="33"/>
      <c r="B96" s="299"/>
      <c r="C96" s="33"/>
      <c r="D96" s="33"/>
      <c r="E96" s="385"/>
      <c r="F96" s="33"/>
      <c r="G96" s="33"/>
      <c r="H96" s="33"/>
      <c r="I96" s="33"/>
      <c r="J96" s="33"/>
      <c r="K96" s="396"/>
      <c r="L96" s="33"/>
      <c r="M96" s="33"/>
      <c r="N96" s="33"/>
      <c r="O96" s="5"/>
    </row>
    <row r="97" ht="15.0" customHeight="1">
      <c r="A97" s="33"/>
      <c r="B97" s="299"/>
      <c r="C97" s="385"/>
      <c r="D97" s="385"/>
      <c r="E97" s="385"/>
      <c r="F97" s="385"/>
      <c r="G97" s="385"/>
      <c r="H97" s="385"/>
      <c r="I97" s="385"/>
      <c r="J97" s="385"/>
      <c r="K97" s="396"/>
      <c r="L97" s="385"/>
      <c r="M97" s="385"/>
      <c r="N97" s="385"/>
      <c r="O97" s="5"/>
    </row>
    <row r="98" ht="15.0" customHeight="1">
      <c r="A98" s="33"/>
      <c r="B98" s="299"/>
      <c r="C98" s="385"/>
      <c r="D98" s="33"/>
      <c r="E98" s="385"/>
      <c r="F98" s="33"/>
      <c r="G98" s="385"/>
      <c r="H98" s="33"/>
      <c r="I98" s="385"/>
      <c r="J98" s="33"/>
      <c r="K98" s="396"/>
      <c r="L98" s="33"/>
      <c r="M98" s="385"/>
      <c r="N98" s="33"/>
      <c r="O98" s="5"/>
    </row>
    <row r="99" ht="15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 ht="15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 ht="15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 ht="15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 ht="15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ht="15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A7:N7"/>
    <mergeCell ref="C8:N8"/>
    <mergeCell ref="A9:B9"/>
    <mergeCell ref="A51:N51"/>
    <mergeCell ref="A68:N68"/>
    <mergeCell ref="A85:N8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2007-09-29T15:21:41Z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B6444D575A094E91829C34E5C895C942_12</vt:lpwstr>
  </property>
  <property fmtid="{D5CDD505-2E9C-101B-9397-08002B2CF9AE}" pid="3" name="KSOProductBuildVer">
    <vt:lpwstr>2058-12.2.0.23131</vt:lpwstr>
  </property>
</Properties>
</file>