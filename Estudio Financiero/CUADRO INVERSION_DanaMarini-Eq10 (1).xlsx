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EL DAT" sheetId="1" r:id="rId4"/>
  </sheets>
  <definedNames/>
  <calcPr/>
  <extLst>
    <ext uri="GoogleSheetsCustomDataVersion2">
      <go:sheetsCustomData xmlns:go="http://customooxmlschemas.google.com/" r:id="rId5" roundtripDataChecksum="xcgSeW3Qx2CN7zshleBbBBVMiVdw6ioLCPIHuCkeGvA="/>
    </ext>
  </extLst>
</workbook>
</file>

<file path=xl/sharedStrings.xml><?xml version="1.0" encoding="utf-8"?>
<sst xmlns="http://schemas.openxmlformats.org/spreadsheetml/2006/main" count="77" uniqueCount="46">
  <si>
    <t>miCEL</t>
  </si>
  <si>
    <t>Distribuidor Autorizado Telcel</t>
  </si>
  <si>
    <t>1 SUCURSAL</t>
  </si>
  <si>
    <t>9 SUCURSALES</t>
  </si>
  <si>
    <t>CONCEPTO</t>
  </si>
  <si>
    <t>DEPENDENCIA</t>
  </si>
  <si>
    <t>GRUPO</t>
  </si>
  <si>
    <t>TOTAL</t>
  </si>
  <si>
    <t xml:space="preserve"> El cuadro de inversión es para aperturar 1 sucursal propia de miCEL Distribuidor Autorizado Telcel, contemplando los objetivos a mediano plazo, se espera aprovechar esta información para aperturar al menos 9 sucursales para el año 2030.</t>
  </si>
  <si>
    <t>Cap. Trabajo</t>
  </si>
  <si>
    <t>Inv. Fija</t>
  </si>
  <si>
    <t>Inv. Diferida</t>
  </si>
  <si>
    <t>Total</t>
  </si>
  <si>
    <t>%</t>
  </si>
  <si>
    <t>INVERSIÓN POR 1 SUCURSAL PROPIA</t>
  </si>
  <si>
    <t>CAPITAL DE TRABAJO</t>
  </si>
  <si>
    <t>CANTIDAD</t>
  </si>
  <si>
    <t>UNIDAD</t>
  </si>
  <si>
    <t>COSTO</t>
  </si>
  <si>
    <t>INAES</t>
  </si>
  <si>
    <t>Equipos (celulares, modems, tablets)</t>
  </si>
  <si>
    <t>PZAS</t>
  </si>
  <si>
    <t>Accesorios</t>
  </si>
  <si>
    <t>Saldo en el portal</t>
  </si>
  <si>
    <t>SERVICIO</t>
  </si>
  <si>
    <t>Papelería y Limpieza</t>
  </si>
  <si>
    <t>Uniformes</t>
  </si>
  <si>
    <t>INVERSIÓN FIJA</t>
  </si>
  <si>
    <t xml:space="preserve">Pintura y trabajos de tablaroca
</t>
  </si>
  <si>
    <t xml:space="preserve">Equipo de computo
</t>
  </si>
  <si>
    <t xml:space="preserve">Modificaciones eléctricas
</t>
  </si>
  <si>
    <t>Exhibipaneles</t>
  </si>
  <si>
    <t xml:space="preserve">Ganchos para exhibipaneles y bases de teléfonos
</t>
  </si>
  <si>
    <t xml:space="preserve">Mobiliario (Vitrinas, sillas y caja)
</t>
  </si>
  <si>
    <t>][</t>
  </si>
  <si>
    <t>Anuncio luminoso</t>
  </si>
  <si>
    <t>.</t>
  </si>
  <si>
    <t>Pantalla</t>
  </si>
  <si>
    <t>Depósito de Renta y Renta adelantada del local</t>
  </si>
  <si>
    <t>Instalación de Servicios</t>
  </si>
  <si>
    <t>Licencia del sistema de Ventas</t>
  </si>
  <si>
    <t>Cámaras de seguridad</t>
  </si>
  <si>
    <t>Regulador de voltaje</t>
  </si>
  <si>
    <t>INVERSION DIFERIDA</t>
  </si>
  <si>
    <t>CAPACITACION</t>
  </si>
  <si>
    <t>Cap. Trab.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</si>
</sst>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i/>
      <sz val="12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theme="1"/>
      <name val="Calibri"/>
    </font>
    <font>
      <sz val="11.0"/>
      <color rgb="FF0D0D0D"/>
      <name val="Calibri"/>
    </font>
    <font>
      <sz val="8.0"/>
      <color theme="1"/>
      <name val="Arial"/>
    </font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5" numFmtId="0" xfId="0" applyBorder="1" applyFont="1"/>
    <xf borderId="5" fillId="0" fontId="5" numFmtId="0" xfId="0" applyBorder="1" applyFont="1"/>
    <xf borderId="1" fillId="0" fontId="6" numFmtId="0" xfId="0" applyBorder="1" applyFont="1"/>
    <xf borderId="2" fillId="0" fontId="6" numFmtId="0" xfId="0" applyBorder="1" applyFont="1"/>
    <xf borderId="6" fillId="0" fontId="5" numFmtId="0" xfId="0" applyBorder="1" applyFont="1"/>
    <xf borderId="7" fillId="0" fontId="5" numFmtId="0" xfId="0" applyBorder="1" applyFont="1"/>
    <xf borderId="1" fillId="0" fontId="6" numFmtId="4" xfId="0" applyBorder="1" applyFont="1" applyNumberFormat="1"/>
    <xf borderId="2" fillId="0" fontId="6" numFmtId="4" xfId="0" applyBorder="1" applyFont="1" applyNumberForma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0" fontId="6" numFmtId="10" xfId="0" applyBorder="1" applyFont="1" applyNumberFormat="1"/>
    <xf borderId="2" fillId="0" fontId="6" numFmtId="10" xfId="0" applyBorder="1" applyFont="1" applyNumberFormat="1"/>
    <xf borderId="2" fillId="0" fontId="2" numFmtId="0" xfId="0" applyAlignment="1" applyBorder="1" applyFont="1">
      <alignment readingOrder="0"/>
    </xf>
    <xf borderId="11" fillId="0" fontId="5" numFmtId="0" xfId="0" applyBorder="1" applyFont="1"/>
    <xf borderId="12" fillId="0" fontId="5" numFmtId="0" xfId="0" applyBorder="1" applyFont="1"/>
    <xf borderId="1" fillId="0" fontId="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6" numFmtId="4" xfId="0" applyAlignment="1" applyBorder="1" applyFont="1" applyNumberFormat="1">
      <alignment readingOrder="0"/>
    </xf>
    <xf borderId="1" fillId="0" fontId="7" numFmtId="4" xfId="0" applyAlignment="1" applyBorder="1" applyFont="1" applyNumberFormat="1">
      <alignment readingOrder="0" shrinkToFit="0" wrapText="1"/>
    </xf>
    <xf borderId="1" fillId="0" fontId="6" numFmtId="3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" fillId="0" fontId="3" numFmtId="4" xfId="0" applyBorder="1" applyFont="1" applyNumberFormat="1"/>
    <xf borderId="13" fillId="0" fontId="6" numFmtId="0" xfId="0" applyAlignment="1" applyBorder="1" applyFont="1">
      <alignment readingOrder="0"/>
    </xf>
    <xf borderId="13" fillId="0" fontId="6" numFmtId="0" xfId="0" applyBorder="1" applyFont="1"/>
    <xf borderId="13" fillId="0" fontId="6" numFmtId="4" xfId="0" applyBorder="1" applyFont="1" applyNumberFormat="1"/>
    <xf borderId="14" fillId="0" fontId="6" numFmtId="0" xfId="0" applyBorder="1" applyFont="1"/>
    <xf borderId="15" fillId="0" fontId="6" numFmtId="4" xfId="0" applyBorder="1" applyFont="1" applyNumberFormat="1"/>
    <xf borderId="0" fillId="0" fontId="6" numFmtId="0" xfId="0" applyFont="1"/>
    <xf borderId="0" fillId="0" fontId="6" numFmtId="4" xfId="0" applyFont="1" applyNumberFormat="1"/>
    <xf borderId="1" fillId="0" fontId="3" numFmtId="0" xfId="0" applyBorder="1" applyFont="1"/>
    <xf borderId="1" fillId="2" fontId="2" numFmtId="4" xfId="0" applyBorder="1" applyFont="1" applyNumberFormat="1"/>
    <xf borderId="0" fillId="0" fontId="8" numFmtId="0" xfId="0" applyFont="1"/>
    <xf borderId="2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0" fillId="0" fontId="8" numFmtId="9" xfId="0" applyFont="1" applyNumberFormat="1"/>
    <xf borderId="1" fillId="0" fontId="8" numFmtId="4" xfId="0" applyBorder="1" applyFont="1" applyNumberFormat="1"/>
    <xf borderId="1" fillId="0" fontId="8" numFmtId="10" xfId="0" applyBorder="1" applyFont="1" applyNumberFormat="1"/>
    <xf borderId="1" fillId="0" fontId="9" numFmtId="4" xfId="0" applyBorder="1" applyFont="1" applyNumberFormat="1"/>
    <xf borderId="1" fillId="0" fontId="9" numFmtId="10" xfId="0" applyBorder="1" applyFont="1" applyNumberFormat="1"/>
    <xf borderId="1" fillId="0" fontId="9" numFmtId="2" xfId="0" applyAlignment="1" applyBorder="1" applyFont="1" applyNumberFormat="1">
      <alignment horizontal="center"/>
    </xf>
    <xf borderId="1" fillId="0" fontId="9" numFmtId="9" xfId="0" applyAlignment="1" applyBorder="1" applyFont="1" applyNumberFormat="1">
      <alignment horizontal="center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0"/>
    <col customWidth="1" min="3" max="3" width="14.71"/>
    <col customWidth="1" min="4" max="5" width="16.29"/>
    <col customWidth="1" min="6" max="6" width="13.57"/>
    <col customWidth="1" min="7" max="26" width="10.71"/>
  </cols>
  <sheetData>
    <row r="3">
      <c r="B3" s="1" t="s">
        <v>0</v>
      </c>
      <c r="C3" s="2"/>
    </row>
    <row r="4">
      <c r="B4" s="2"/>
      <c r="C4" s="2"/>
    </row>
    <row r="5">
      <c r="B5" s="1" t="s">
        <v>1</v>
      </c>
      <c r="C5" s="2"/>
    </row>
    <row r="6">
      <c r="C6" s="3" t="s">
        <v>2</v>
      </c>
      <c r="F6" s="4" t="s">
        <v>3</v>
      </c>
    </row>
    <row r="7">
      <c r="B7" s="5" t="s">
        <v>4</v>
      </c>
      <c r="C7" s="6" t="s">
        <v>5</v>
      </c>
      <c r="D7" s="5" t="s">
        <v>6</v>
      </c>
      <c r="E7" s="7" t="s">
        <v>7</v>
      </c>
      <c r="F7" s="6" t="s">
        <v>5</v>
      </c>
      <c r="G7" s="5" t="s">
        <v>6</v>
      </c>
      <c r="H7" s="5" t="s">
        <v>7</v>
      </c>
      <c r="J7" s="8" t="s">
        <v>8</v>
      </c>
      <c r="K7" s="9"/>
      <c r="L7" s="9"/>
      <c r="M7" s="9"/>
      <c r="N7" s="10"/>
    </row>
    <row r="8">
      <c r="B8" s="11"/>
      <c r="C8" s="11"/>
      <c r="D8" s="11"/>
      <c r="E8" s="12"/>
      <c r="F8" s="11"/>
      <c r="G8" s="11"/>
      <c r="H8" s="11"/>
      <c r="J8" s="13"/>
      <c r="N8" s="14"/>
    </row>
    <row r="9">
      <c r="B9" s="11" t="s">
        <v>9</v>
      </c>
      <c r="C9" s="15">
        <f t="shared" ref="C9:D9" si="1">G22</f>
        <v>215000</v>
      </c>
      <c r="D9" s="15">
        <f t="shared" si="1"/>
        <v>1700</v>
      </c>
      <c r="E9" s="16">
        <f t="shared" ref="E9:E11" si="4">SUM(C9:D9)</f>
        <v>216700</v>
      </c>
      <c r="F9" s="15">
        <f t="shared" ref="F9:G9" si="2">C9*9</f>
        <v>1935000</v>
      </c>
      <c r="G9" s="15">
        <f t="shared" si="2"/>
        <v>15300</v>
      </c>
      <c r="H9" s="15">
        <f t="shared" ref="H9:H11" si="6">SUM(F9:G9)</f>
        <v>1950300</v>
      </c>
      <c r="J9" s="13"/>
      <c r="N9" s="14"/>
    </row>
    <row r="10">
      <c r="B10" s="11" t="s">
        <v>10</v>
      </c>
      <c r="C10" s="15">
        <f t="shared" ref="C10:D10" si="3">G38</f>
        <v>63000</v>
      </c>
      <c r="D10" s="15">
        <f t="shared" si="3"/>
        <v>14000</v>
      </c>
      <c r="E10" s="16">
        <f t="shared" si="4"/>
        <v>77000</v>
      </c>
      <c r="F10" s="15">
        <f t="shared" ref="F10:G10" si="5">C10*9</f>
        <v>567000</v>
      </c>
      <c r="G10" s="15">
        <f t="shared" si="5"/>
        <v>126000</v>
      </c>
      <c r="H10" s="15">
        <f t="shared" si="6"/>
        <v>693000</v>
      </c>
      <c r="J10" s="13"/>
      <c r="N10" s="14"/>
    </row>
    <row r="11">
      <c r="B11" s="11" t="s">
        <v>11</v>
      </c>
      <c r="C11" s="15">
        <f>F44</f>
        <v>2000</v>
      </c>
      <c r="E11" s="16">
        <f t="shared" si="4"/>
        <v>2000</v>
      </c>
      <c r="F11" s="15">
        <f t="shared" ref="F11:G11" si="7">C11*9</f>
        <v>18000</v>
      </c>
      <c r="G11" s="15">
        <f t="shared" si="7"/>
        <v>0</v>
      </c>
      <c r="H11" s="15">
        <f t="shared" si="6"/>
        <v>18000</v>
      </c>
      <c r="J11" s="13"/>
      <c r="N11" s="14"/>
    </row>
    <row r="12">
      <c r="B12" s="11" t="s">
        <v>12</v>
      </c>
      <c r="C12" s="15">
        <f>SUM(C9:C11)</f>
        <v>280000</v>
      </c>
      <c r="D12" s="15">
        <f>SUM(D9:D10)</f>
        <v>15700</v>
      </c>
      <c r="E12" s="16">
        <f>SUM(E9:E11)</f>
        <v>295700</v>
      </c>
      <c r="F12" s="15">
        <f t="shared" ref="F12:G12" si="8">C12*9</f>
        <v>2520000</v>
      </c>
      <c r="G12" s="15">
        <f t="shared" si="8"/>
        <v>141300</v>
      </c>
      <c r="H12" s="15">
        <f>SUM(H9:H11)</f>
        <v>2661300</v>
      </c>
      <c r="J12" s="17"/>
      <c r="K12" s="18"/>
      <c r="L12" s="18"/>
      <c r="M12" s="18"/>
      <c r="N12" s="19"/>
    </row>
    <row r="13">
      <c r="B13" s="11" t="s">
        <v>13</v>
      </c>
      <c r="C13" s="20">
        <f>C12/E12</f>
        <v>0.9469056476</v>
      </c>
      <c r="D13" s="20">
        <f>D12/E12</f>
        <v>0.05309435238</v>
      </c>
      <c r="E13" s="21">
        <f>SUM(C13:D13)</f>
        <v>1</v>
      </c>
      <c r="F13" s="20">
        <f>F12/H12</f>
        <v>0.9469056476</v>
      </c>
      <c r="G13" s="20">
        <f>G12/H12</f>
        <v>0.05309435238</v>
      </c>
      <c r="H13" s="20">
        <f>SUM(F13:G13)</f>
        <v>1</v>
      </c>
    </row>
    <row r="15">
      <c r="B15" s="22" t="s">
        <v>14</v>
      </c>
      <c r="C15" s="23"/>
      <c r="D15" s="23"/>
      <c r="E15" s="23"/>
      <c r="F15" s="23"/>
      <c r="G15" s="23"/>
      <c r="H15" s="24"/>
    </row>
    <row r="16">
      <c r="B16" s="5" t="s">
        <v>15</v>
      </c>
      <c r="C16" s="5" t="s">
        <v>16</v>
      </c>
      <c r="D16" s="5" t="s">
        <v>17</v>
      </c>
      <c r="E16" s="5" t="s">
        <v>18</v>
      </c>
      <c r="F16" s="5" t="s">
        <v>7</v>
      </c>
      <c r="G16" s="6" t="s">
        <v>19</v>
      </c>
      <c r="H16" s="5" t="s">
        <v>6</v>
      </c>
    </row>
    <row r="17">
      <c r="B17" s="25" t="s">
        <v>20</v>
      </c>
      <c r="C17" s="26">
        <v>50.0</v>
      </c>
      <c r="D17" s="26" t="s">
        <v>21</v>
      </c>
      <c r="E17" s="27">
        <v>3400.0</v>
      </c>
      <c r="F17" s="28">
        <f t="shared" ref="F17:F19" si="9">C17*E17</f>
        <v>170000</v>
      </c>
      <c r="G17" s="27">
        <v>170000.0</v>
      </c>
      <c r="H17" s="11"/>
    </row>
    <row r="18">
      <c r="B18" s="25" t="s">
        <v>22</v>
      </c>
      <c r="C18" s="26">
        <v>250.0</v>
      </c>
      <c r="D18" s="26" t="s">
        <v>21</v>
      </c>
      <c r="E18" s="27">
        <v>140.0</v>
      </c>
      <c r="F18" s="28">
        <f t="shared" si="9"/>
        <v>35000</v>
      </c>
      <c r="G18" s="27">
        <v>35000.0</v>
      </c>
      <c r="H18" s="11"/>
    </row>
    <row r="19">
      <c r="B19" s="25" t="s">
        <v>23</v>
      </c>
      <c r="C19" s="29">
        <v>1.0</v>
      </c>
      <c r="D19" s="26" t="s">
        <v>24</v>
      </c>
      <c r="E19" s="27">
        <v>10000.0</v>
      </c>
      <c r="F19" s="28">
        <f t="shared" si="9"/>
        <v>10000</v>
      </c>
      <c r="G19" s="27">
        <v>10000.0</v>
      </c>
      <c r="H19" s="11"/>
    </row>
    <row r="20">
      <c r="B20" s="25" t="s">
        <v>25</v>
      </c>
      <c r="C20" s="26">
        <v>15.0</v>
      </c>
      <c r="D20" s="26" t="s">
        <v>21</v>
      </c>
      <c r="E20" s="27">
        <v>33.3333333333333</v>
      </c>
      <c r="F20" s="28">
        <f t="shared" ref="F20:F21" si="10">E20*C20</f>
        <v>500</v>
      </c>
      <c r="G20" s="15"/>
      <c r="H20" s="15">
        <f t="shared" ref="H20:H21" si="11">F20</f>
        <v>500</v>
      </c>
    </row>
    <row r="21">
      <c r="B21" s="25" t="s">
        <v>26</v>
      </c>
      <c r="C21" s="26">
        <v>6.0</v>
      </c>
      <c r="D21" s="26" t="s">
        <v>21</v>
      </c>
      <c r="E21" s="27">
        <v>200.0</v>
      </c>
      <c r="F21" s="28">
        <f t="shared" si="10"/>
        <v>1200</v>
      </c>
      <c r="G21" s="15"/>
      <c r="H21" s="15">
        <f t="shared" si="11"/>
        <v>1200</v>
      </c>
    </row>
    <row r="22">
      <c r="B22" s="26"/>
      <c r="C22" s="11"/>
      <c r="D22" s="11"/>
      <c r="E22" s="15"/>
      <c r="F22" s="15">
        <f t="shared" ref="F22:H22" si="12">SUM(F17:F21)</f>
        <v>216700</v>
      </c>
      <c r="G22" s="15">
        <f t="shared" si="12"/>
        <v>215000</v>
      </c>
      <c r="H22" s="11">
        <f t="shared" si="12"/>
        <v>1700</v>
      </c>
    </row>
    <row r="23">
      <c r="B23" s="26"/>
      <c r="C23" s="11"/>
      <c r="D23" s="11"/>
      <c r="E23" s="15"/>
      <c r="F23" s="15"/>
      <c r="G23" s="15"/>
      <c r="H23" s="11"/>
    </row>
    <row r="24">
      <c r="B24" s="30" t="s">
        <v>27</v>
      </c>
      <c r="C24" s="23"/>
      <c r="D24" s="23"/>
      <c r="E24" s="23"/>
      <c r="F24" s="23"/>
      <c r="G24" s="23"/>
      <c r="H24" s="24"/>
    </row>
    <row r="25" ht="18.0" customHeight="1">
      <c r="B25" s="26" t="s">
        <v>28</v>
      </c>
      <c r="C25" s="26">
        <v>1.0</v>
      </c>
      <c r="D25" s="26" t="s">
        <v>24</v>
      </c>
      <c r="E25" s="27">
        <v>5000.0</v>
      </c>
      <c r="F25" s="28">
        <f>E25*C25</f>
        <v>5000</v>
      </c>
      <c r="G25" s="15">
        <f t="shared" ref="G25:G32" si="13">F25</f>
        <v>5000</v>
      </c>
      <c r="H25" s="11"/>
    </row>
    <row r="26" ht="20.25" customHeight="1">
      <c r="B26" s="26" t="s">
        <v>29</v>
      </c>
      <c r="C26" s="26">
        <v>1.0</v>
      </c>
      <c r="D26" s="26" t="s">
        <v>21</v>
      </c>
      <c r="E26" s="27">
        <v>8000.0</v>
      </c>
      <c r="F26" s="28">
        <f t="shared" ref="F26:F31" si="14">C26*E26</f>
        <v>8000</v>
      </c>
      <c r="G26" s="15">
        <f t="shared" si="13"/>
        <v>8000</v>
      </c>
      <c r="H26" s="11"/>
    </row>
    <row r="27" ht="21.0" customHeight="1">
      <c r="B27" s="26" t="s">
        <v>30</v>
      </c>
      <c r="C27" s="26">
        <v>1.0</v>
      </c>
      <c r="D27" s="26" t="s">
        <v>17</v>
      </c>
      <c r="E27" s="27">
        <v>1500.0</v>
      </c>
      <c r="F27" s="28">
        <f t="shared" si="14"/>
        <v>1500</v>
      </c>
      <c r="G27" s="15">
        <f t="shared" si="13"/>
        <v>1500</v>
      </c>
      <c r="H27" s="11"/>
    </row>
    <row r="28">
      <c r="B28" s="26" t="s">
        <v>31</v>
      </c>
      <c r="C28" s="26">
        <v>2.0</v>
      </c>
      <c r="D28" s="26" t="s">
        <v>21</v>
      </c>
      <c r="E28" s="27">
        <v>1000.0</v>
      </c>
      <c r="F28" s="28">
        <f t="shared" si="14"/>
        <v>2000</v>
      </c>
      <c r="G28" s="15">
        <f t="shared" si="13"/>
        <v>2000</v>
      </c>
      <c r="H28" s="11"/>
    </row>
    <row r="29" ht="37.5" customHeight="1">
      <c r="B29" s="31" t="s">
        <v>32</v>
      </c>
      <c r="C29" s="11">
        <v>100.0</v>
      </c>
      <c r="D29" s="26" t="s">
        <v>21</v>
      </c>
      <c r="E29" s="27">
        <v>15.0</v>
      </c>
      <c r="F29" s="28">
        <f t="shared" si="14"/>
        <v>1500</v>
      </c>
      <c r="G29" s="15">
        <f t="shared" si="13"/>
        <v>1500</v>
      </c>
      <c r="H29" s="11"/>
    </row>
    <row r="30" ht="29.25" customHeight="1">
      <c r="B30" s="26" t="s">
        <v>33</v>
      </c>
      <c r="C30" s="26">
        <v>4.0</v>
      </c>
      <c r="D30" s="26" t="s">
        <v>21</v>
      </c>
      <c r="E30" s="27">
        <v>5000.0</v>
      </c>
      <c r="F30" s="28">
        <f t="shared" si="14"/>
        <v>20000</v>
      </c>
      <c r="G30" s="15">
        <f t="shared" si="13"/>
        <v>20000</v>
      </c>
      <c r="H30" s="11"/>
      <c r="I30" s="32" t="s">
        <v>34</v>
      </c>
    </row>
    <row r="31" ht="15.75" customHeight="1">
      <c r="B31" s="26" t="s">
        <v>35</v>
      </c>
      <c r="C31" s="26">
        <v>1.0</v>
      </c>
      <c r="D31" s="26" t="s">
        <v>21</v>
      </c>
      <c r="E31" s="27">
        <v>12000.0</v>
      </c>
      <c r="F31" s="28">
        <f t="shared" si="14"/>
        <v>12000</v>
      </c>
      <c r="G31" s="15">
        <f t="shared" si="13"/>
        <v>12000</v>
      </c>
      <c r="H31" s="11"/>
      <c r="I31" s="32" t="s">
        <v>36</v>
      </c>
    </row>
    <row r="32" ht="15.75" customHeight="1">
      <c r="B32" s="26" t="s">
        <v>37</v>
      </c>
      <c r="C32" s="26">
        <v>1.0</v>
      </c>
      <c r="D32" s="26" t="s">
        <v>21</v>
      </c>
      <c r="E32" s="27">
        <v>5000.0</v>
      </c>
      <c r="F32" s="28">
        <f t="shared" ref="F32:F33" si="15">E32*C32</f>
        <v>5000</v>
      </c>
      <c r="G32" s="15">
        <f t="shared" si="13"/>
        <v>5000</v>
      </c>
      <c r="H32" s="11"/>
    </row>
    <row r="33" ht="15.75" customHeight="1">
      <c r="B33" s="31" t="s">
        <v>38</v>
      </c>
      <c r="C33" s="26">
        <v>2.0</v>
      </c>
      <c r="D33" s="26" t="s">
        <v>17</v>
      </c>
      <c r="E33" s="27">
        <v>6000.0</v>
      </c>
      <c r="F33" s="28">
        <f t="shared" si="15"/>
        <v>12000</v>
      </c>
      <c r="G33" s="15"/>
      <c r="H33" s="15">
        <f>F33</f>
        <v>12000</v>
      </c>
    </row>
    <row r="34" ht="15.75" customHeight="1">
      <c r="B34" s="26" t="s">
        <v>39</v>
      </c>
      <c r="C34" s="26">
        <v>1.0</v>
      </c>
      <c r="D34" s="26" t="s">
        <v>17</v>
      </c>
      <c r="E34" s="26">
        <v>2000.0</v>
      </c>
      <c r="F34" s="28">
        <f t="shared" ref="F34:F36" si="16">C34*E34</f>
        <v>2000</v>
      </c>
      <c r="G34" s="28">
        <v>2000.0</v>
      </c>
      <c r="H34" s="33"/>
    </row>
    <row r="35" ht="15.75" customHeight="1">
      <c r="B35" s="26" t="s">
        <v>40</v>
      </c>
      <c r="C35" s="26">
        <v>1.0</v>
      </c>
      <c r="D35" s="26" t="s">
        <v>17</v>
      </c>
      <c r="E35" s="26">
        <v>1000.0</v>
      </c>
      <c r="F35" s="28">
        <f t="shared" si="16"/>
        <v>1000</v>
      </c>
      <c r="G35" s="11"/>
      <c r="H35" s="15">
        <f>F35</f>
        <v>1000</v>
      </c>
    </row>
    <row r="36" ht="15.75" customHeight="1">
      <c r="B36" s="26" t="s">
        <v>41</v>
      </c>
      <c r="C36" s="26">
        <v>4.0</v>
      </c>
      <c r="D36" s="26" t="s">
        <v>21</v>
      </c>
      <c r="E36" s="27">
        <v>1500.0</v>
      </c>
      <c r="F36" s="28">
        <f t="shared" si="16"/>
        <v>6000</v>
      </c>
      <c r="G36" s="15">
        <f>F36</f>
        <v>6000</v>
      </c>
      <c r="H36" s="11"/>
    </row>
    <row r="37" ht="15.75" customHeight="1">
      <c r="B37" s="34" t="s">
        <v>42</v>
      </c>
      <c r="C37" s="35">
        <v>1.0</v>
      </c>
      <c r="D37" s="34" t="s">
        <v>21</v>
      </c>
      <c r="E37" s="36"/>
      <c r="F37" s="28">
        <v>1000.0</v>
      </c>
      <c r="G37" s="11"/>
      <c r="H37" s="15">
        <f>F37</f>
        <v>1000</v>
      </c>
    </row>
    <row r="38" ht="15.75" customHeight="1">
      <c r="B38" s="37"/>
      <c r="C38" s="37"/>
      <c r="D38" s="37"/>
      <c r="E38" s="38"/>
      <c r="F38" s="38">
        <f t="shared" ref="F38:H38" si="17">SUM(F25:F37)</f>
        <v>77000</v>
      </c>
      <c r="G38" s="36">
        <f t="shared" si="17"/>
        <v>63000</v>
      </c>
      <c r="H38" s="36">
        <f t="shared" si="17"/>
        <v>14000</v>
      </c>
    </row>
    <row r="39" ht="15.75" customHeight="1">
      <c r="B39" s="39"/>
      <c r="C39" s="39"/>
      <c r="D39" s="39"/>
      <c r="E39" s="40"/>
      <c r="F39" s="15">
        <f t="shared" ref="F39:H39" si="18">F22+F38</f>
        <v>293700</v>
      </c>
      <c r="G39" s="15">
        <f t="shared" si="18"/>
        <v>278000</v>
      </c>
      <c r="H39" s="15">
        <f t="shared" si="18"/>
        <v>15700</v>
      </c>
    </row>
    <row r="40" ht="15.75" customHeight="1">
      <c r="F40" s="40"/>
      <c r="G40" s="40"/>
      <c r="H40" s="40"/>
    </row>
    <row r="41" ht="15.75" customHeight="1"/>
    <row r="42" ht="15.75" customHeight="1">
      <c r="B42" s="41" t="s">
        <v>43</v>
      </c>
      <c r="C42" s="11"/>
      <c r="D42" s="11"/>
      <c r="E42" s="11"/>
      <c r="F42" s="11"/>
      <c r="G42" s="11"/>
      <c r="H42" s="11"/>
    </row>
    <row r="43" ht="15.75" customHeight="1">
      <c r="B43" s="11" t="s">
        <v>44</v>
      </c>
      <c r="C43" s="26">
        <v>2.0</v>
      </c>
      <c r="D43" s="11" t="s">
        <v>24</v>
      </c>
      <c r="E43" s="26">
        <v>1000.0</v>
      </c>
      <c r="F43" s="15">
        <f>C43*E43</f>
        <v>2000</v>
      </c>
      <c r="G43" s="15">
        <f>F43</f>
        <v>2000</v>
      </c>
      <c r="H43" s="15"/>
    </row>
    <row r="44" ht="15.75" customHeight="1">
      <c r="F44" s="33">
        <f t="shared" ref="F44:H44" si="19">SUM(F43)</f>
        <v>2000</v>
      </c>
      <c r="G44" s="33">
        <f t="shared" si="19"/>
        <v>2000</v>
      </c>
      <c r="H44" s="33">
        <f t="shared" si="19"/>
        <v>0</v>
      </c>
    </row>
    <row r="45" ht="15.75" customHeight="1">
      <c r="F45" s="42">
        <f>F39+F44</f>
        <v>295700</v>
      </c>
    </row>
    <row r="46" ht="15.75" customHeight="1"/>
    <row r="47" ht="15.75" customHeight="1">
      <c r="B47" s="43"/>
      <c r="C47" s="44" t="s">
        <v>4</v>
      </c>
      <c r="D47" s="24"/>
      <c r="E47" s="45" t="s">
        <v>19</v>
      </c>
      <c r="F47" s="45" t="s">
        <v>6</v>
      </c>
      <c r="G47" s="45" t="s">
        <v>7</v>
      </c>
      <c r="H47" s="45" t="s">
        <v>13</v>
      </c>
    </row>
    <row r="48" ht="15.75" customHeight="1">
      <c r="B48" s="46">
        <f>E48/E51</f>
        <v>0.7678571429</v>
      </c>
      <c r="C48" s="44" t="s">
        <v>45</v>
      </c>
      <c r="D48" s="24"/>
      <c r="E48" s="47">
        <f t="shared" ref="E48:F48" si="20">G22</f>
        <v>215000</v>
      </c>
      <c r="F48" s="47">
        <f t="shared" si="20"/>
        <v>1700</v>
      </c>
      <c r="G48" s="47">
        <f t="shared" ref="G48:G50" si="22">SUM(E48:F48)</f>
        <v>216700</v>
      </c>
      <c r="H48" s="48">
        <f>G48/G51</f>
        <v>0.7328373351</v>
      </c>
    </row>
    <row r="49" ht="15.75" customHeight="1">
      <c r="B49" s="46">
        <f>E49/E51</f>
        <v>0.225</v>
      </c>
      <c r="C49" s="44" t="s">
        <v>10</v>
      </c>
      <c r="D49" s="24"/>
      <c r="E49" s="47">
        <f t="shared" ref="E49:F49" si="21">G38</f>
        <v>63000</v>
      </c>
      <c r="F49" s="47">
        <f t="shared" si="21"/>
        <v>14000</v>
      </c>
      <c r="G49" s="47">
        <f t="shared" si="22"/>
        <v>77000</v>
      </c>
      <c r="H49" s="48">
        <f>G49/G51</f>
        <v>0.2603990531</v>
      </c>
    </row>
    <row r="50" ht="15.75" customHeight="1">
      <c r="B50" s="46"/>
      <c r="C50" s="44" t="s">
        <v>11</v>
      </c>
      <c r="D50" s="24"/>
      <c r="E50" s="47">
        <f>F44</f>
        <v>2000</v>
      </c>
      <c r="F50" s="47">
        <v>0.0</v>
      </c>
      <c r="G50" s="47">
        <f t="shared" si="22"/>
        <v>2000</v>
      </c>
      <c r="H50" s="48">
        <f>G50/G51</f>
        <v>0.006763611769</v>
      </c>
    </row>
    <row r="51" ht="15.75" customHeight="1">
      <c r="B51" s="43">
        <f>100</f>
        <v>100</v>
      </c>
      <c r="C51" s="44" t="s">
        <v>12</v>
      </c>
      <c r="D51" s="24"/>
      <c r="E51" s="49">
        <f t="shared" ref="E51:G51" si="23">SUM(E48:E50)</f>
        <v>280000</v>
      </c>
      <c r="F51" s="49">
        <f t="shared" si="23"/>
        <v>15700</v>
      </c>
      <c r="G51" s="49">
        <f t="shared" si="23"/>
        <v>295700</v>
      </c>
      <c r="H51" s="50">
        <v>1.0</v>
      </c>
    </row>
    <row r="52" ht="15.75" customHeight="1">
      <c r="B52" s="43"/>
      <c r="C52" s="44" t="s">
        <v>13</v>
      </c>
      <c r="D52" s="24"/>
      <c r="E52" s="51">
        <f>(E51/G51)*100</f>
        <v>94.69056476</v>
      </c>
      <c r="F52" s="51">
        <f>(F51/G51)*100</f>
        <v>5.309435238</v>
      </c>
      <c r="G52" s="52">
        <v>1.0</v>
      </c>
      <c r="H52" s="5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1">
    <mergeCell ref="C49:D49"/>
    <mergeCell ref="C50:D50"/>
    <mergeCell ref="C51:D51"/>
    <mergeCell ref="C52:D52"/>
    <mergeCell ref="C6:E6"/>
    <mergeCell ref="F6:H6"/>
    <mergeCell ref="J7:N12"/>
    <mergeCell ref="B15:H15"/>
    <mergeCell ref="B24:H24"/>
    <mergeCell ref="C47:D47"/>
    <mergeCell ref="C48:D48"/>
  </mergeCells>
  <printOptions/>
  <pageMargins bottom="0.75" footer="0.0" header="0.0" left="0.7" right="0.7" top="0.75"/>
  <pageSetup orientation="landscape"/>
  <rowBreaks count="1" manualBreakCount="1">
    <brk id="4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2016-06-30T18:15:30Z</dcterms:created>
  <dc:creator>SPIP WHITE</dc:creator>
</cp:coreProperties>
</file>